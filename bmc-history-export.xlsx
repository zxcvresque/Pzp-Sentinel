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Code-space\pzp-finance\"/>
    </mc:Choice>
  </mc:AlternateContent>
  <xr:revisionPtr revIDLastSave="0" documentId="13_ncr:1_{8446D766-9E52-46CF-B4BC-94103F54D03A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Overview" sheetId="1" r:id="rId1"/>
    <sheet name="Supporters" sheetId="2" r:id="rId2"/>
    <sheet name="Supporters (Colored)" sheetId="3" r:id="rId3"/>
    <sheet name="Subscriptions" sheetId="4" r:id="rId4"/>
    <sheet name="Monthly Summary" sheetId="5" r:id="rId5"/>
    <sheet name="Top Supporters" sheetId="6" r:id="rId6"/>
    <sheet name="By Country" sheetId="7" r:id="rId7"/>
    <sheet name="Price Distribution" sheetId="8" r:id="rId8"/>
  </sheets>
  <definedNames>
    <definedName name="_xlnm._FilterDatabase" localSheetId="6" hidden="1">'By Country'!$A$1:$F$7</definedName>
    <definedName name="_xlnm._FilterDatabase" localSheetId="3" hidden="1">Subscriptions!$A$1:$N$4</definedName>
    <definedName name="_xlnm._FilterDatabase" localSheetId="1" hidden="1">Supporters!$A$1:$M$27</definedName>
    <definedName name="_xlnm._FilterDatabase" localSheetId="2" hidden="1">'Supporters (Colored)'!$A$1:$M$27</definedName>
    <definedName name="_xlnm._FilterDatabase" localSheetId="5" hidden="1">'Top Supporters'!$A$1:$I$14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5" l="1"/>
  <c r="D16" i="5"/>
  <c r="B16" i="5"/>
  <c r="H28" i="3"/>
  <c r="G28" i="3"/>
  <c r="E28" i="3"/>
  <c r="H28" i="2"/>
  <c r="G28" i="2"/>
  <c r="E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BMC Export</author>
  </authors>
  <commentList>
    <comment ref="H28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As of 10 Jun 2026 — 1 USD = ₹95.4052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BMC Export</author>
  </authors>
  <commentList>
    <comment ref="H28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As of 10 Jun 2026 — 1 USD = ₹95.4052</t>
        </r>
      </text>
    </comment>
  </commentList>
</comments>
</file>

<file path=xl/sharedStrings.xml><?xml version="1.0" encoding="utf-8"?>
<sst xmlns="http://schemas.openxmlformats.org/spreadsheetml/2006/main" count="519" uniqueCount="174">
  <si>
    <t>Buy Me a Coffee — Account Overview</t>
  </si>
  <si>
    <t>Page: @dhruvmehta  ·  Owner: Dhruv  ·  Email: flashxx001@gmail.com</t>
  </si>
  <si>
    <t>Generated: 10 Jun 2026, 19:42  ·  FX rate (USD/INR): 95.4052 as of 10 Jun 2026</t>
  </si>
  <si>
    <t>Total Earned</t>
  </si>
  <si>
    <t>Total Coffees</t>
  </si>
  <si>
    <t>Active Subs (MRR)</t>
  </si>
  <si>
    <t>$272.00</t>
  </si>
  <si>
    <t>26</t>
  </si>
  <si>
    <t>$65.00/mo</t>
  </si>
  <si>
    <t>₹ 25,950</t>
  </si>
  <si>
    <t>13 unique payers</t>
  </si>
  <si>
    <t>₹ 6,201/mo</t>
  </si>
  <si>
    <t>All-Time Subs</t>
  </si>
  <si>
    <t>First Donation</t>
  </si>
  <si>
    <t>Latest Donation</t>
  </si>
  <si>
    <t>3</t>
  </si>
  <si>
    <t>21 Aug 2024</t>
  </si>
  <si>
    <t>13 Feb 2026</t>
  </si>
  <si>
    <t>1 cancelled</t>
  </si>
  <si>
    <t>Account Details</t>
  </si>
  <si>
    <t>Profile Name</t>
  </si>
  <si>
    <t>Dhruv</t>
  </si>
  <si>
    <t>Page Slug</t>
  </si>
  <si>
    <t>@dhruvmehta</t>
  </si>
  <si>
    <t>Default Coffee Price</t>
  </si>
  <si>
    <t>$5.0000</t>
  </si>
  <si>
    <t>Description</t>
  </si>
  <si>
    <t>Just another guy.</t>
  </si>
  <si>
    <t>Created On</t>
  </si>
  <si>
    <t>2024-08-19 16:52:33</t>
  </si>
  <si>
    <t>Last Login</t>
  </si>
  <si>
    <t>2026-05-23 10:56:40</t>
  </si>
  <si>
    <t>Payout Method</t>
  </si>
  <si>
    <t>payoneer</t>
  </si>
  <si>
    <t>Currency</t>
  </si>
  <si>
    <t>USD</t>
  </si>
  <si>
    <t>Profile Country</t>
  </si>
  <si>
    <t>United States</t>
  </si>
  <si>
    <t>Date</t>
  </si>
  <si>
    <t>Supporter</t>
  </si>
  <si>
    <t>Payer Name</t>
  </si>
  <si>
    <t>Payer Email</t>
  </si>
  <si>
    <t>Coffees</t>
  </si>
  <si>
    <t>Price ($)</t>
  </si>
  <si>
    <t>Total ($)</t>
  </si>
  <si>
    <t>Total (₹)</t>
  </si>
  <si>
    <t>Country</t>
  </si>
  <si>
    <t>Note</t>
  </si>
  <si>
    <t>Platform</t>
  </si>
  <si>
    <t>Transaction ID</t>
  </si>
  <si>
    <t>Support ID</t>
  </si>
  <si>
    <t>Narendra Modi</t>
  </si>
  <si>
    <t>alanv1978@proton.me</t>
  </si>
  <si>
    <t>South Africa</t>
  </si>
  <si>
    <t>Full Sumppot 🙏</t>
  </si>
  <si>
    <t>stripe</t>
  </si>
  <si>
    <t>pi_3Pq4qdJEtINljGAa0n3PddM8</t>
  </si>
  <si>
    <t>Someone</t>
  </si>
  <si>
    <t>boldp68@gmail.com</t>
  </si>
  <si>
    <t>Algeria</t>
  </si>
  <si>
    <t>✊🏻✊🏻</t>
  </si>
  <si>
    <t>pi_3Pu8FhJEtINljGAa0z8keZRy</t>
  </si>
  <si>
    <t>DroidAPKS</t>
  </si>
  <si>
    <t>beamingopus@proton.me</t>
  </si>
  <si>
    <t>1337x 👑</t>
  </si>
  <si>
    <t>pi_3PuBlHJEtINljGAa1rMsW5JT</t>
  </si>
  <si>
    <t>manik@outlook.com</t>
  </si>
  <si>
    <t>India</t>
  </si>
  <si>
    <t>pi_3Q3tsWJEtINljGAa0DQ0b57t</t>
  </si>
  <si>
    <t>IsNotSoReal kmkb ✊🏻✊🏻✊🏻</t>
  </si>
  <si>
    <t>pi_3Q87j7JEtINljGAa1xz6it1W</t>
  </si>
  <si>
    <t>1337x</t>
  </si>
  <si>
    <t>wpcodrive@gmail.com</t>
  </si>
  <si>
    <t>@DroidAPKS 🚀💸</t>
  </si>
  <si>
    <t>pi_3QBTLTJEtINljGAa07yhzTw1</t>
  </si>
  <si>
    <t>pi_3QHiZNJEtINljGAa1vu7mCce</t>
  </si>
  <si>
    <t>1337x@apmail.org</t>
  </si>
  <si>
    <t>@virai</t>
  </si>
  <si>
    <t>pi_3QIEm8JEtINljGAa04alKUXZ</t>
  </si>
  <si>
    <t>Ryuzaki</t>
  </si>
  <si>
    <t>focalorr991@gmail.com</t>
  </si>
  <si>
    <t>Saudi Arabia</t>
  </si>
  <si>
    <t>@DeRyuzaki</t>
  </si>
  <si>
    <t>pi_3QNbkLJEtINljGAa03ly9ELx</t>
  </si>
  <si>
    <t>GetMeACat</t>
  </si>
  <si>
    <t>lostb053@gmail.com</t>
  </si>
  <si>
    <t>Germany</t>
  </si>
  <si>
    <t>Give me invites</t>
  </si>
  <si>
    <t>pi_3QSgqyJEtINljGAa0BnGqMGd</t>
  </si>
  <si>
    <t>something nice</t>
  </si>
  <si>
    <t>pi_3QU1IUJEtINljGAa0S3DfOYo</t>
  </si>
  <si>
    <t>pamar97@proton.me</t>
  </si>
  <si>
    <t>sapnu puas</t>
  </si>
  <si>
    <t>pi_3QUIrHJEtINljGAa1PCKsHzj</t>
  </si>
  <si>
    <t>Passing by for Sumppot</t>
  </si>
  <si>
    <t>pi_3QXO3nJEtINljGAa0fSpvfbH</t>
  </si>
  <si>
    <t>pi_3QefgpJEtINljGAa1wGzUAjD</t>
  </si>
  <si>
    <t>MuviMu</t>
  </si>
  <si>
    <t>sedut.rare@gmail.com</t>
  </si>
  <si>
    <t>True 👍🏻 and fast 🏃‍♂️</t>
  </si>
  <si>
    <t>pi_3QnniJJEtINljGAa1LB5UDmX</t>
  </si>
  <si>
    <t>pi_3QopRLJEtINljGAa0ESNiCd1</t>
  </si>
  <si>
    <t>2 rupay ki pepsi 1337x bhai secsi</t>
  </si>
  <si>
    <t>pi_3Qtb5RJEtINljGAa1pKKbAYU</t>
  </si>
  <si>
    <t>pi_3R1DWFJEtINljGAa0WIVuxrj</t>
  </si>
  <si>
    <t>ilybouteldjoune@gmail.com</t>
  </si>
  <si>
    <t>pi_3REYKTJEtINljGAa1Tyjr9ye</t>
  </si>
  <si>
    <t>Thanks Dhruv Rathee sir</t>
  </si>
  <si>
    <t>pi_3RYx2LJEtINljGAa0m5Qj8bS</t>
  </si>
  <si>
    <t>pi_3RZzhHJEtINljGAa0luKGtsE</t>
  </si>
  <si>
    <t>pi_3Rn6vAJEtINljGAa1MpcTnbk</t>
  </si>
  <si>
    <t>pi_3SEvdUJEtINljGAa02fXjJac</t>
  </si>
  <si>
    <t>Happy diwali</t>
  </si>
  <si>
    <t>pi_3SL165JEtINljGAa0LJ0la6y</t>
  </si>
  <si>
    <t>Spectrexq</t>
  </si>
  <si>
    <t>spectrex63@gmail.com</t>
  </si>
  <si>
    <t>Turkiye</t>
  </si>
  <si>
    <t>pi_3SjJAYJEtINljGAa0ZGLqemv</t>
  </si>
  <si>
    <t>Mustang</t>
  </si>
  <si>
    <t>Muse</t>
  </si>
  <si>
    <t>mustang.vst@gmail.com</t>
  </si>
  <si>
    <t>pi_3T0HnVJEtINljGAa18YlrNCk</t>
  </si>
  <si>
    <t>TOTAL</t>
  </si>
  <si>
    <t>Started</t>
  </si>
  <si>
    <t>Cancelled</t>
  </si>
  <si>
    <t>Status</t>
  </si>
  <si>
    <t>Coffees/mo</t>
  </si>
  <si>
    <t>Monthly ($)</t>
  </si>
  <si>
    <t>Monthly (₹)</t>
  </si>
  <si>
    <t>Duration</t>
  </si>
  <si>
    <t>Current Period Start</t>
  </si>
  <si>
    <t>Current Period End</t>
  </si>
  <si>
    <t>Message</t>
  </si>
  <si>
    <t>Subscription ID</t>
  </si>
  <si>
    <t>canceled</t>
  </si>
  <si>
    <t>month</t>
  </si>
  <si>
    <t>Thank you all for the efforts.</t>
  </si>
  <si>
    <t>past_due</t>
  </si>
  <si>
    <t>Whatever bossman said. "2 rupay ki pepsi 1337x bhai secs I"</t>
  </si>
  <si>
    <t>active</t>
  </si>
  <si>
    <t>Passing by for full sumppot</t>
  </si>
  <si>
    <t>MRR (active)</t>
  </si>
  <si>
    <t>Month</t>
  </si>
  <si>
    <t>Unique Supporters</t>
  </si>
  <si>
    <t>Revenue ($)</t>
  </si>
  <si>
    <t>Revenue (₹)</t>
  </si>
  <si>
    <t>Avg per Coffee ($)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</si>
  <si>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</si>
  <si>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</si>
  <si>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</si>
  <si>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</si>
  <si>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</si>
  <si>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</si>
  <si>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</si>
  <si>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</si>
  <si>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</si>
  <si>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Jun 2025</t>
  </si>
  <si>
    <t>Jul 2025</t>
  </si>
  <si>
    <t>Oct 2025</t>
  </si>
  <si>
    <t>Dec 2025</t>
  </si>
  <si>
    <t>Feb 2026</t>
  </si>
  <si>
    <t>Rank</t>
  </si>
  <si>
    <t>Last Donation</t>
  </si>
  <si>
    <t>Donations Count</t>
  </si>
  <si>
    <t>Code</t>
  </si>
  <si>
    <t>% of Total</t>
  </si>
  <si>
    <t>SA</t>
  </si>
  <si>
    <t>ZA</t>
  </si>
  <si>
    <t>DZ</t>
  </si>
  <si>
    <t>DE</t>
  </si>
  <si>
    <t>IN</t>
  </si>
  <si>
    <t>TR</t>
  </si>
  <si>
    <t>Coffee Price ($)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</si>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</sst>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dd/mm/yyyy\ hh:mm:ss"/>
    <numFmt numFmtId="166" formatCode="&quot;$&quot;#,##0.00"/>
    <numFmt numFmtId="167" formatCode="&quot;₹ &quot;#,##0.00"/>
    <numFmt numFmtId="168" formatCode="0.0%"/>
  </numFmts>
  <fonts count="10" x14ac:knownFonts="1">
    <font>
      <sz val="11"/>
      <color theme="1"/>
      <name val="Calibri"/>
      <family val="2"/>
      <scheme val="minor"/>
    </font>
    <font>
      <b/>
      <sz val="16"/>
      <color rgb="FF1F4E78"/>
      <name val="Arial"/>
    </font>
    <font>
      <i/>
      <sz val="10"/>
      <color rgb="FF6B7280"/>
      <name val="Arial"/>
    </font>
    <font>
      <i/>
      <sz val="9"/>
      <color rgb="FF6B7280"/>
      <name val="Arial"/>
    </font>
    <font>
      <b/>
      <sz val="10"/>
      <color rgb="FF6B7280"/>
      <name val="Arial"/>
    </font>
    <font>
      <b/>
      <sz val="20"/>
      <color rgb="FF1F4E78"/>
      <name val="Arial"/>
    </font>
    <font>
      <b/>
      <sz val="12"/>
      <color rgb="FF1F4E78"/>
      <name val="Arial"/>
    </font>
    <font>
      <b/>
      <sz val="11"/>
      <name val="Arial"/>
    </font>
    <font>
      <sz val="10"/>
      <name val="Arial"/>
    </font>
    <font>
      <b/>
      <sz val="11"/>
      <color rgb="FFFFFFFF"/>
      <name val="Arial"/>
    </font>
  </fonts>
  <fills count="19">
    <fill>
      <patternFill patternType="none"/>
    </fill>
    <fill>
      <patternFill patternType="gray125"/>
    </fill>
    <fill>
      <patternFill patternType="solid">
        <fgColor rgb="FFEBF3FB"/>
      </patternFill>
    </fill>
    <fill>
      <patternFill patternType="solid">
        <fgColor rgb="FF4472C4"/>
      </patternFill>
    </fill>
    <fill>
      <patternFill patternType="solid">
        <fgColor rgb="FFF2F7FB"/>
      </patternFill>
    </fill>
    <fill>
      <patternFill patternType="solid">
        <fgColor rgb="FFE2EFDA"/>
      </patternFill>
    </fill>
    <fill>
      <patternFill patternType="solid">
        <fgColor rgb="FFDAEEF3"/>
      </patternFill>
    </fill>
    <fill>
      <patternFill patternType="solid">
        <fgColor rgb="FFFCE4D6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FFF2DCD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ADBD8"/>
      </patternFill>
    </fill>
    <fill>
      <patternFill patternType="solid">
        <fgColor rgb="FFD4E6F1"/>
      </patternFill>
    </fill>
    <fill>
      <patternFill patternType="solid">
        <fgColor rgb="FFF9E79F"/>
      </patternFill>
    </fill>
    <fill>
      <patternFill patternType="solid">
        <fgColor rgb="FFABEBC6"/>
      </patternFill>
    </fill>
    <fill>
      <patternFill patternType="solid">
        <fgColor rgb="FFFAD7A0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6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3" borderId="1" xfId="0" applyFont="1" applyFill="1" applyBorder="1" applyAlignment="1">
      <alignment horizontal="center" vertical="center"/>
    </xf>
    <xf numFmtId="165" fontId="8" fillId="4" borderId="1" xfId="0" applyNumberFormat="1" applyFont="1" applyFill="1" applyBorder="1"/>
    <xf numFmtId="0" fontId="8" fillId="4" borderId="1" xfId="0" applyFont="1" applyFill="1" applyBorder="1"/>
    <xf numFmtId="166" fontId="8" fillId="4" borderId="1" xfId="0" applyNumberFormat="1" applyFont="1" applyFill="1" applyBorder="1"/>
    <xf numFmtId="167" fontId="8" fillId="4" borderId="1" xfId="0" applyNumberFormat="1" applyFont="1" applyFill="1" applyBorder="1"/>
    <xf numFmtId="165" fontId="8" fillId="0" borderId="1" xfId="0" applyNumberFormat="1" applyFont="1" applyBorder="1"/>
    <xf numFmtId="166" fontId="8" fillId="0" borderId="1" xfId="0" applyNumberFormat="1" applyFont="1" applyBorder="1"/>
    <xf numFmtId="167" fontId="8" fillId="0" borderId="1" xfId="0" applyNumberFormat="1" applyFont="1" applyBorder="1"/>
    <xf numFmtId="0" fontId="7" fillId="5" borderId="1" xfId="0" applyFont="1" applyFill="1" applyBorder="1" applyAlignment="1">
      <alignment horizontal="right"/>
    </xf>
    <xf numFmtId="0" fontId="7" fillId="5" borderId="1" xfId="0" applyFont="1" applyFill="1" applyBorder="1"/>
    <xf numFmtId="166" fontId="7" fillId="5" borderId="1" xfId="0" applyNumberFormat="1" applyFont="1" applyFill="1" applyBorder="1"/>
    <xf numFmtId="167" fontId="7" fillId="5" borderId="1" xfId="0" applyNumberFormat="1" applyFont="1" applyFill="1" applyBorder="1"/>
    <xf numFmtId="165" fontId="8" fillId="6" borderId="1" xfId="0" applyNumberFormat="1" applyFont="1" applyFill="1" applyBorder="1"/>
    <xf numFmtId="0" fontId="8" fillId="6" borderId="1" xfId="0" applyFont="1" applyFill="1" applyBorder="1"/>
    <xf numFmtId="166" fontId="8" fillId="6" borderId="1" xfId="0" applyNumberFormat="1" applyFont="1" applyFill="1" applyBorder="1"/>
    <xf numFmtId="167" fontId="8" fillId="6" borderId="1" xfId="0" applyNumberFormat="1" applyFont="1" applyFill="1" applyBorder="1"/>
    <xf numFmtId="165" fontId="8" fillId="5" borderId="1" xfId="0" applyNumberFormat="1" applyFont="1" applyFill="1" applyBorder="1"/>
    <xf numFmtId="0" fontId="8" fillId="5" borderId="1" xfId="0" applyFont="1" applyFill="1" applyBorder="1"/>
    <xf numFmtId="166" fontId="8" fillId="5" borderId="1" xfId="0" applyNumberFormat="1" applyFont="1" applyFill="1" applyBorder="1"/>
    <xf numFmtId="167" fontId="8" fillId="5" borderId="1" xfId="0" applyNumberFormat="1" applyFont="1" applyFill="1" applyBorder="1"/>
    <xf numFmtId="165" fontId="8" fillId="7" borderId="1" xfId="0" applyNumberFormat="1" applyFont="1" applyFill="1" applyBorder="1"/>
    <xf numFmtId="0" fontId="8" fillId="7" borderId="1" xfId="0" applyFont="1" applyFill="1" applyBorder="1"/>
    <xf numFmtId="166" fontId="8" fillId="7" borderId="1" xfId="0" applyNumberFormat="1" applyFont="1" applyFill="1" applyBorder="1"/>
    <xf numFmtId="167" fontId="8" fillId="7" borderId="1" xfId="0" applyNumberFormat="1" applyFont="1" applyFill="1" applyBorder="1"/>
    <xf numFmtId="165" fontId="8" fillId="8" borderId="1" xfId="0" applyNumberFormat="1" applyFont="1" applyFill="1" applyBorder="1"/>
    <xf numFmtId="0" fontId="8" fillId="8" borderId="1" xfId="0" applyFont="1" applyFill="1" applyBorder="1"/>
    <xf numFmtId="166" fontId="8" fillId="8" borderId="1" xfId="0" applyNumberFormat="1" applyFont="1" applyFill="1" applyBorder="1"/>
    <xf numFmtId="167" fontId="8" fillId="8" borderId="1" xfId="0" applyNumberFormat="1" applyFont="1" applyFill="1" applyBorder="1"/>
    <xf numFmtId="165" fontId="8" fillId="9" borderId="1" xfId="0" applyNumberFormat="1" applyFont="1" applyFill="1" applyBorder="1"/>
    <xf numFmtId="0" fontId="8" fillId="9" borderId="1" xfId="0" applyFont="1" applyFill="1" applyBorder="1"/>
    <xf numFmtId="166" fontId="8" fillId="9" borderId="1" xfId="0" applyNumberFormat="1" applyFont="1" applyFill="1" applyBorder="1"/>
    <xf numFmtId="167" fontId="8" fillId="9" borderId="1" xfId="0" applyNumberFormat="1" applyFont="1" applyFill="1" applyBorder="1"/>
    <xf numFmtId="165" fontId="8" fillId="10" borderId="1" xfId="0" applyNumberFormat="1" applyFont="1" applyFill="1" applyBorder="1"/>
    <xf numFmtId="0" fontId="8" fillId="10" borderId="1" xfId="0" applyFont="1" applyFill="1" applyBorder="1"/>
    <xf numFmtId="166" fontId="8" fillId="10" borderId="1" xfId="0" applyNumberFormat="1" applyFont="1" applyFill="1" applyBorder="1"/>
    <xf numFmtId="167" fontId="8" fillId="10" borderId="1" xfId="0" applyNumberFormat="1" applyFont="1" applyFill="1" applyBorder="1"/>
    <xf numFmtId="165" fontId="8" fillId="11" borderId="1" xfId="0" applyNumberFormat="1" applyFont="1" applyFill="1" applyBorder="1"/>
    <xf numFmtId="0" fontId="8" fillId="11" borderId="1" xfId="0" applyFont="1" applyFill="1" applyBorder="1"/>
    <xf numFmtId="166" fontId="8" fillId="11" borderId="1" xfId="0" applyNumberFormat="1" applyFont="1" applyFill="1" applyBorder="1"/>
    <xf numFmtId="167" fontId="8" fillId="11" borderId="1" xfId="0" applyNumberFormat="1" applyFont="1" applyFill="1" applyBorder="1"/>
    <xf numFmtId="165" fontId="8" fillId="12" borderId="1" xfId="0" applyNumberFormat="1" applyFont="1" applyFill="1" applyBorder="1"/>
    <xf numFmtId="0" fontId="8" fillId="12" borderId="1" xfId="0" applyFont="1" applyFill="1" applyBorder="1"/>
    <xf numFmtId="166" fontId="8" fillId="12" borderId="1" xfId="0" applyNumberFormat="1" applyFont="1" applyFill="1" applyBorder="1"/>
    <xf numFmtId="167" fontId="8" fillId="12" borderId="1" xfId="0" applyNumberFormat="1" applyFont="1" applyFill="1" applyBorder="1"/>
    <xf numFmtId="165" fontId="8" fillId="13" borderId="1" xfId="0" applyNumberFormat="1" applyFont="1" applyFill="1" applyBorder="1"/>
    <xf numFmtId="0" fontId="8" fillId="13" borderId="1" xfId="0" applyFont="1" applyFill="1" applyBorder="1"/>
    <xf numFmtId="166" fontId="8" fillId="13" borderId="1" xfId="0" applyNumberFormat="1" applyFont="1" applyFill="1" applyBorder="1"/>
    <xf numFmtId="167" fontId="8" fillId="13" borderId="1" xfId="0" applyNumberFormat="1" applyFont="1" applyFill="1" applyBorder="1"/>
    <xf numFmtId="165" fontId="8" fillId="14" borderId="1" xfId="0" applyNumberFormat="1" applyFont="1" applyFill="1" applyBorder="1"/>
    <xf numFmtId="0" fontId="8" fillId="14" borderId="1" xfId="0" applyFont="1" applyFill="1" applyBorder="1"/>
    <xf numFmtId="166" fontId="8" fillId="14" borderId="1" xfId="0" applyNumberFormat="1" applyFont="1" applyFill="1" applyBorder="1"/>
    <xf numFmtId="167" fontId="8" fillId="14" borderId="1" xfId="0" applyNumberFormat="1" applyFont="1" applyFill="1" applyBorder="1"/>
    <xf numFmtId="165" fontId="8" fillId="15" borderId="1" xfId="0" applyNumberFormat="1" applyFont="1" applyFill="1" applyBorder="1"/>
    <xf numFmtId="0" fontId="8" fillId="15" borderId="1" xfId="0" applyFont="1" applyFill="1" applyBorder="1"/>
    <xf numFmtId="166" fontId="8" fillId="15" borderId="1" xfId="0" applyNumberFormat="1" applyFont="1" applyFill="1" applyBorder="1"/>
    <xf numFmtId="167" fontId="8" fillId="15" borderId="1" xfId="0" applyNumberFormat="1" applyFont="1" applyFill="1" applyBorder="1"/>
    <xf numFmtId="165" fontId="8" fillId="16" borderId="1" xfId="0" applyNumberFormat="1" applyFont="1" applyFill="1" applyBorder="1"/>
    <xf numFmtId="0" fontId="8" fillId="16" borderId="1" xfId="0" applyFont="1" applyFill="1" applyBorder="1"/>
    <xf numFmtId="166" fontId="8" fillId="16" borderId="1" xfId="0" applyNumberFormat="1" applyFont="1" applyFill="1" applyBorder="1"/>
    <xf numFmtId="167" fontId="8" fillId="16" borderId="1" xfId="0" applyNumberFormat="1" applyFont="1" applyFill="1" applyBorder="1"/>
    <xf numFmtId="165" fontId="8" fillId="17" borderId="1" xfId="0" applyNumberFormat="1" applyFont="1" applyFill="1" applyBorder="1"/>
    <xf numFmtId="0" fontId="8" fillId="17" borderId="1" xfId="0" applyFont="1" applyFill="1" applyBorder="1"/>
    <xf numFmtId="166" fontId="8" fillId="17" borderId="1" xfId="0" applyNumberFormat="1" applyFont="1" applyFill="1" applyBorder="1"/>
    <xf numFmtId="167" fontId="8" fillId="17" borderId="1" xfId="0" applyNumberFormat="1" applyFont="1" applyFill="1" applyBorder="1"/>
    <xf numFmtId="165" fontId="8" fillId="18" borderId="1" xfId="0" applyNumberFormat="1" applyFont="1" applyFill="1" applyBorder="1"/>
    <xf numFmtId="0" fontId="8" fillId="18" borderId="1" xfId="0" applyFont="1" applyFill="1" applyBorder="1"/>
    <xf numFmtId="166" fontId="8" fillId="18" borderId="1" xfId="0" applyNumberFormat="1" applyFont="1" applyFill="1" applyBorder="1"/>
    <xf numFmtId="167" fontId="8" fillId="18" borderId="1" xfId="0" applyNumberFormat="1" applyFont="1" applyFill="1" applyBorder="1"/>
    <xf numFmtId="0" fontId="7" fillId="0" borderId="0" xfId="0" applyFont="1" applyAlignment="1">
      <alignment horizontal="right"/>
    </xf>
    <xf numFmtId="14" fontId="8" fillId="4" borderId="1" xfId="0" applyNumberFormat="1" applyFont="1" applyFill="1" applyBorder="1"/>
    <xf numFmtId="14" fontId="8" fillId="0" borderId="1" xfId="0" applyNumberFormat="1" applyFont="1" applyBorder="1"/>
    <xf numFmtId="168" fontId="8" fillId="4" borderId="1" xfId="0" applyNumberFormat="1" applyFont="1" applyFill="1" applyBorder="1"/>
    <xf numFmtId="168" fontId="8" fillId="0" borderId="1" xfId="0" applyNumberFormat="1" applyFont="1" applyBorder="1"/>
    <xf numFmtId="0" fontId="5" fillId="2" borderId="1" xfId="0" applyFont="1" applyFill="1" applyBorder="1" applyAlignment="1">
      <alignment horizontal="center"/>
    </xf>
    <xf numFmtId="0" fontId="0" fillId="0" borderId="2" xfId="0" applyBorder="1"/>
    <xf numFmtId="0" fontId="8" fillId="0" borderId="1" xfId="0" applyFont="1" applyBorder="1"/>
    <xf numFmtId="0" fontId="0" fillId="0" borderId="3" xfId="0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0" xfId="0" applyFont="1"/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IN"/>
              <a:t>Monthly Revenue (USD)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'Monthly Summary'!$D$1</c:f>
              <c:strCache>
                <c:ptCount val="1"/>
                <c:pt idx="0">
                  <c:v>Revenue ($)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'Monthly Summary'!$A$2:$A$15</c:f>
              <c:strCache>
                <c:ptCount val="14"/>
                <c:pt idx="0">
                  <c:v>Aug 2024</c:v>
                </c:pt>
                <c:pt idx="1">
                  <c:v>Sep 2024</c:v>
                </c:pt>
                <c:pt idx="2">
                  <c:v>Oct 2024</c:v>
                </c:pt>
                <c:pt idx="3">
                  <c:v>Nov 2024</c:v>
                </c:pt>
                <c:pt idx="4">
                  <c:v>Dec 2024</c:v>
                </c:pt>
                <c:pt idx="5">
                  <c:v>Jan 2025</c:v>
                </c:pt>
                <c:pt idx="6">
                  <c:v>Feb 2025</c:v>
                </c:pt>
                <c:pt idx="7">
                  <c:v>Mar 2025</c:v>
                </c:pt>
                <c:pt idx="8">
                  <c:v>Apr 2025</c:v>
                </c:pt>
                <c:pt idx="9">
                  <c:v>Jun 2025</c:v>
                </c:pt>
                <c:pt idx="10">
                  <c:v>Jul 2025</c:v>
                </c:pt>
                <c:pt idx="11">
                  <c:v>Oct 2025</c:v>
                </c:pt>
                <c:pt idx="12">
                  <c:v>Dec 2025</c:v>
                </c:pt>
                <c:pt idx="13">
                  <c:v>Feb 2026</c:v>
                </c:pt>
              </c:strCache>
            </c:strRef>
          </c:cat>
          <c:val>
            <c:numRef>
              <c:f>'Monthly Summary'!$D$2:$D$15</c:f>
              <c:numCache>
                <c:formatCode>"$"#,##0.00</c:formatCode>
                <c:ptCount val="14"/>
                <c:pt idx="0">
                  <c:v>5</c:v>
                </c:pt>
                <c:pt idx="1">
                  <c:v>26</c:v>
                </c:pt>
                <c:pt idx="2">
                  <c:v>28</c:v>
                </c:pt>
                <c:pt idx="3">
                  <c:v>33</c:v>
                </c:pt>
                <c:pt idx="4">
                  <c:v>53</c:v>
                </c:pt>
                <c:pt idx="5">
                  <c:v>3</c:v>
                </c:pt>
                <c:pt idx="6">
                  <c:v>19</c:v>
                </c:pt>
                <c:pt idx="7">
                  <c:v>3</c:v>
                </c:pt>
                <c:pt idx="8">
                  <c:v>3</c:v>
                </c:pt>
                <c:pt idx="9">
                  <c:v>15</c:v>
                </c:pt>
                <c:pt idx="10">
                  <c:v>9</c:v>
                </c:pt>
                <c:pt idx="11">
                  <c:v>24</c:v>
                </c:pt>
                <c:pt idx="12">
                  <c:v>1</c:v>
                </c:pt>
                <c:pt idx="1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60-4D76-B1D0-46CFE03D7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USD</a:t>
                </a:r>
              </a:p>
            </c:rich>
          </c:tx>
          <c:overlay val="1"/>
        </c:title>
        <c:numFmt formatCode="&quot;$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IN"/>
              <a:t>Coffees per Month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Summary'!$B$1</c:f>
              <c:strCache>
                <c:ptCount val="1"/>
                <c:pt idx="0">
                  <c:v>Coffees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Summary'!$A$2:$A$15</c:f>
              <c:strCache>
                <c:ptCount val="14"/>
                <c:pt idx="0">
                  <c:v>Aug 2024</c:v>
                </c:pt>
                <c:pt idx="1">
                  <c:v>Sep 2024</c:v>
                </c:pt>
                <c:pt idx="2">
                  <c:v>Oct 2024</c:v>
                </c:pt>
                <c:pt idx="3">
                  <c:v>Nov 2024</c:v>
                </c:pt>
                <c:pt idx="4">
                  <c:v>Dec 2024</c:v>
                </c:pt>
                <c:pt idx="5">
                  <c:v>Jan 2025</c:v>
                </c:pt>
                <c:pt idx="6">
                  <c:v>Feb 2025</c:v>
                </c:pt>
                <c:pt idx="7">
                  <c:v>Mar 2025</c:v>
                </c:pt>
                <c:pt idx="8">
                  <c:v>Apr 2025</c:v>
                </c:pt>
                <c:pt idx="9">
                  <c:v>Jun 2025</c:v>
                </c:pt>
                <c:pt idx="10">
                  <c:v>Jul 2025</c:v>
                </c:pt>
                <c:pt idx="11">
                  <c:v>Oct 2025</c:v>
                </c:pt>
                <c:pt idx="12">
                  <c:v>Dec 2025</c:v>
                </c:pt>
                <c:pt idx="13">
                  <c:v>Feb 2026</c:v>
                </c:pt>
              </c:strCache>
            </c:strRef>
          </c:cat>
          <c:val>
            <c:numRef>
              <c:f>'Monthly Summary'!$B$2:$B$15</c:f>
              <c:numCache>
                <c:formatCode>General</c:formatCode>
                <c:ptCount val="14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CF1-4242-80B5-714BF4A4A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Coffees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Supporter</a:t>
            </a:r>
          </a:p>
        </c:rich>
      </c:tx>
      <c:layout>
        <c:manualLayout>
          <c:xMode val="edge"/>
          <c:yMode val="edge"/>
          <c:x val="0.74633688271604948"/>
          <c:y val="5.5856481481481479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'Top Supporters'!$E$1</c:f>
              <c:strCache>
                <c:ptCount val="1"/>
                <c:pt idx="0">
                  <c:v>Total ($)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 Supporters'!$B$2:$B$11</c:f>
              <c:strCache>
                <c:ptCount val="10"/>
                <c:pt idx="0">
                  <c:v>Muse</c:v>
                </c:pt>
                <c:pt idx="1">
                  <c:v>Ryuzaki</c:v>
                </c:pt>
                <c:pt idx="2">
                  <c:v>Someone</c:v>
                </c:pt>
                <c:pt idx="3">
                  <c:v>GetMeACat</c:v>
                </c:pt>
                <c:pt idx="4">
                  <c:v>1337x</c:v>
                </c:pt>
                <c:pt idx="5">
                  <c:v>Narendra Modi</c:v>
                </c:pt>
                <c:pt idx="6">
                  <c:v>Someone</c:v>
                </c:pt>
                <c:pt idx="7">
                  <c:v>1337x</c:v>
                </c:pt>
                <c:pt idx="8">
                  <c:v>DroidAPKS</c:v>
                </c:pt>
                <c:pt idx="9">
                  <c:v>MuviMu</c:v>
                </c:pt>
              </c:strCache>
            </c:strRef>
          </c:cat>
          <c:val>
            <c:numRef>
              <c:f>'Top Supporters'!$E$2:$E$11</c:f>
              <c:numCache>
                <c:formatCode>"$"#,##0.00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42</c:v>
                </c:pt>
                <c:pt idx="3">
                  <c:v>35</c:v>
                </c:pt>
                <c:pt idx="4">
                  <c:v>33</c:v>
                </c:pt>
                <c:pt idx="5">
                  <c:v>15</c:v>
                </c:pt>
                <c:pt idx="6">
                  <c:v>12</c:v>
                </c:pt>
                <c:pt idx="7">
                  <c:v>10</c:v>
                </c:pt>
                <c:pt idx="8">
                  <c:v>10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39-4E75-8B3C-A195117C582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Country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'By Country'!$D$1</c:f>
              <c:strCache>
                <c:ptCount val="1"/>
                <c:pt idx="0">
                  <c:v>Revenue ($)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'By Country'!$A$2:$A$7</c:f>
              <c:strCache>
                <c:ptCount val="6"/>
                <c:pt idx="0">
                  <c:v>Saudi Arabia</c:v>
                </c:pt>
                <c:pt idx="1">
                  <c:v>South Africa</c:v>
                </c:pt>
                <c:pt idx="2">
                  <c:v>Algeria</c:v>
                </c:pt>
                <c:pt idx="3">
                  <c:v>Germany</c:v>
                </c:pt>
                <c:pt idx="4">
                  <c:v>India</c:v>
                </c:pt>
                <c:pt idx="5">
                  <c:v>Turkiye</c:v>
                </c:pt>
              </c:strCache>
            </c:strRef>
          </c:cat>
          <c:val>
            <c:numRef>
              <c:f>'By Country'!$D$2:$D$7</c:f>
              <c:numCache>
                <c:formatCode>"$"#,##0.00</c:formatCode>
                <c:ptCount val="6"/>
                <c:pt idx="0">
                  <c:v>106</c:v>
                </c:pt>
                <c:pt idx="1">
                  <c:v>73</c:v>
                </c:pt>
                <c:pt idx="2">
                  <c:v>45</c:v>
                </c:pt>
                <c:pt idx="3">
                  <c:v>35</c:v>
                </c:pt>
                <c:pt idx="4">
                  <c:v>12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70-4CF8-8366-59DE449FFE0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IN"/>
              <a:t>Coffee Price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'Price Distribution'!$B$1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'Price Distribution'!$A$2:$A$14</c:f>
              <c:numCache>
                <c:formatCode>"$"#,##0.00</c:formatCode>
                <c:ptCount val="13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12</c:v>
                </c:pt>
                <c:pt idx="8">
                  <c:v>15</c:v>
                </c:pt>
                <c:pt idx="9">
                  <c:v>20</c:v>
                </c:pt>
                <c:pt idx="10">
                  <c:v>23</c:v>
                </c:pt>
                <c:pt idx="11">
                  <c:v>30</c:v>
                </c:pt>
                <c:pt idx="12">
                  <c:v>50</c:v>
                </c:pt>
              </c:numCache>
            </c:numRef>
          </c:cat>
          <c:val>
            <c:numRef>
              <c:f>'Price Distribution'!$B$2:$B$14</c:f>
              <c:numCache>
                <c:formatCode>General</c:formatCode>
                <c:ptCount val="13"/>
                <c:pt idx="0">
                  <c:v>1</c:v>
                </c:pt>
                <c:pt idx="1">
                  <c:v>6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14-49E7-A0BD-B3694BB63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Price ($)</a:t>
                </a:r>
              </a:p>
            </c:rich>
          </c:tx>
          <c:overlay val="1"/>
        </c:title>
        <c:numFmt formatCode="&quot;$&quot;#,##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79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21</xdr:row>
      <xdr:rowOff>0</xdr:rowOff>
    </xdr:from>
    <xdr:ext cx="792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topLeftCell="A10" workbookViewId="0">
      <selection activeCell="E23" sqref="E23"/>
    </sheetView>
  </sheetViews>
  <sheetFormatPr defaultRowHeight="14.25" x14ac:dyDescent="0.45"/>
  <cols>
    <col min="1" max="6" width="22" customWidth="1"/>
  </cols>
  <sheetData>
    <row r="1" spans="1:6" ht="30" customHeight="1" x14ac:dyDescent="0.45">
      <c r="A1" s="86" t="s">
        <v>0</v>
      </c>
      <c r="B1" s="84"/>
      <c r="C1" s="84"/>
      <c r="D1" s="84"/>
      <c r="E1" s="84"/>
      <c r="F1" s="84"/>
    </row>
    <row r="2" spans="1:6" x14ac:dyDescent="0.45">
      <c r="A2" s="85" t="s">
        <v>1</v>
      </c>
      <c r="B2" s="84"/>
      <c r="C2" s="84"/>
      <c r="D2" s="84"/>
      <c r="E2" s="84"/>
      <c r="F2" s="84"/>
    </row>
    <row r="3" spans="1:6" x14ac:dyDescent="0.45">
      <c r="A3" s="83" t="s">
        <v>2</v>
      </c>
      <c r="B3" s="84"/>
      <c r="C3" s="84"/>
      <c r="D3" s="84"/>
      <c r="E3" s="84"/>
      <c r="F3" s="84"/>
    </row>
    <row r="5" spans="1:6" x14ac:dyDescent="0.45">
      <c r="A5" s="82" t="s">
        <v>3</v>
      </c>
      <c r="B5" s="78"/>
      <c r="C5" s="82" t="s">
        <v>4</v>
      </c>
      <c r="D5" s="78"/>
      <c r="E5" s="82" t="s">
        <v>5</v>
      </c>
      <c r="F5" s="78"/>
    </row>
    <row r="6" spans="1:6" ht="32" customHeight="1" x14ac:dyDescent="0.7">
      <c r="A6" s="77" t="s">
        <v>6</v>
      </c>
      <c r="B6" s="78"/>
      <c r="C6" s="77" t="s">
        <v>7</v>
      </c>
      <c r="D6" s="78"/>
      <c r="E6" s="77" t="s">
        <v>8</v>
      </c>
      <c r="F6" s="78"/>
    </row>
    <row r="7" spans="1:6" x14ac:dyDescent="0.45">
      <c r="A7" s="81" t="s">
        <v>9</v>
      </c>
      <c r="B7" s="78"/>
      <c r="C7" s="81" t="s">
        <v>10</v>
      </c>
      <c r="D7" s="78"/>
      <c r="E7" s="81" t="s">
        <v>11</v>
      </c>
      <c r="F7" s="78"/>
    </row>
    <row r="9" spans="1:6" x14ac:dyDescent="0.45">
      <c r="A9" s="82" t="s">
        <v>12</v>
      </c>
      <c r="B9" s="78"/>
      <c r="C9" s="82" t="s">
        <v>13</v>
      </c>
      <c r="D9" s="78"/>
      <c r="E9" s="82" t="s">
        <v>14</v>
      </c>
      <c r="F9" s="78"/>
    </row>
    <row r="10" spans="1:6" ht="32" customHeight="1" x14ac:dyDescent="0.7">
      <c r="A10" s="77" t="s">
        <v>15</v>
      </c>
      <c r="B10" s="78"/>
      <c r="C10" s="77" t="s">
        <v>16</v>
      </c>
      <c r="D10" s="78"/>
      <c r="E10" s="77" t="s">
        <v>17</v>
      </c>
      <c r="F10" s="78"/>
    </row>
    <row r="11" spans="1:6" x14ac:dyDescent="0.45">
      <c r="A11" s="81" t="s">
        <v>18</v>
      </c>
      <c r="B11" s="78"/>
      <c r="C11" s="81"/>
      <c r="D11" s="78"/>
      <c r="E11" s="81"/>
      <c r="F11" s="78"/>
    </row>
    <row r="15" spans="1:6" ht="15.4" x14ac:dyDescent="0.45">
      <c r="A15" s="1" t="s">
        <v>19</v>
      </c>
    </row>
    <row r="16" spans="1:6" x14ac:dyDescent="0.45">
      <c r="A16" s="2" t="s">
        <v>20</v>
      </c>
      <c r="B16" s="79" t="s">
        <v>21</v>
      </c>
      <c r="C16" s="80"/>
      <c r="D16" s="78"/>
    </row>
    <row r="17" spans="1:4" x14ac:dyDescent="0.45">
      <c r="A17" s="2" t="s">
        <v>22</v>
      </c>
      <c r="B17" s="79" t="s">
        <v>23</v>
      </c>
      <c r="C17" s="80"/>
      <c r="D17" s="78"/>
    </row>
    <row r="18" spans="1:4" x14ac:dyDescent="0.45">
      <c r="A18" s="2" t="s">
        <v>24</v>
      </c>
      <c r="B18" s="79" t="s">
        <v>25</v>
      </c>
      <c r="C18" s="80"/>
      <c r="D18" s="78"/>
    </row>
    <row r="19" spans="1:4" x14ac:dyDescent="0.45">
      <c r="A19" s="2" t="s">
        <v>26</v>
      </c>
      <c r="B19" s="79" t="s">
        <v>27</v>
      </c>
      <c r="C19" s="80"/>
      <c r="D19" s="78"/>
    </row>
    <row r="20" spans="1:4" x14ac:dyDescent="0.45">
      <c r="A20" s="2" t="s">
        <v>28</v>
      </c>
      <c r="B20" s="79" t="s">
        <v>29</v>
      </c>
      <c r="C20" s="80"/>
      <c r="D20" s="78"/>
    </row>
    <row r="21" spans="1:4" x14ac:dyDescent="0.45">
      <c r="A21" s="2" t="s">
        <v>30</v>
      </c>
      <c r="B21" s="79" t="s">
        <v>31</v>
      </c>
      <c r="C21" s="80"/>
      <c r="D21" s="78"/>
    </row>
    <row r="22" spans="1:4" x14ac:dyDescent="0.45">
      <c r="A22" s="2" t="s">
        <v>32</v>
      </c>
      <c r="B22" s="79" t="s">
        <v>33</v>
      </c>
      <c r="C22" s="80"/>
      <c r="D22" s="78"/>
    </row>
    <row r="23" spans="1:4" x14ac:dyDescent="0.45">
      <c r="A23" s="2" t="s">
        <v>34</v>
      </c>
      <c r="B23" s="79" t="s">
        <v>35</v>
      </c>
      <c r="C23" s="80"/>
      <c r="D23" s="78"/>
    </row>
    <row r="24" spans="1:4" x14ac:dyDescent="0.45">
      <c r="A24" s="2" t="s">
        <v>36</v>
      </c>
      <c r="B24" s="79" t="s">
        <v>37</v>
      </c>
      <c r="C24" s="80"/>
      <c r="D24" s="78"/>
    </row>
  </sheetData>
  <mergeCells count="30">
    <mergeCell ref="A1:F1"/>
    <mergeCell ref="A10:B10"/>
    <mergeCell ref="B18:D18"/>
    <mergeCell ref="B21:D21"/>
    <mergeCell ref="A9:B9"/>
    <mergeCell ref="B24:D24"/>
    <mergeCell ref="B20:D20"/>
    <mergeCell ref="E6:F6"/>
    <mergeCell ref="C11:D11"/>
    <mergeCell ref="E11:F11"/>
    <mergeCell ref="B16:D16"/>
    <mergeCell ref="C7:D7"/>
    <mergeCell ref="E7:F7"/>
    <mergeCell ref="B22:D22"/>
    <mergeCell ref="E5:F5"/>
    <mergeCell ref="A3:F3"/>
    <mergeCell ref="A6:B6"/>
    <mergeCell ref="A2:F2"/>
    <mergeCell ref="B19:D19"/>
    <mergeCell ref="C10:D10"/>
    <mergeCell ref="A7:B7"/>
    <mergeCell ref="E10:F10"/>
    <mergeCell ref="C9:D9"/>
    <mergeCell ref="E9:F9"/>
    <mergeCell ref="A5:B5"/>
    <mergeCell ref="C6:D6"/>
    <mergeCell ref="B23:D23"/>
    <mergeCell ref="A11:B11"/>
    <mergeCell ref="C5:D5"/>
    <mergeCell ref="B17:D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2" customWidth="1"/>
    <col min="2" max="3" width="16" customWidth="1"/>
    <col min="4" max="4" width="28" customWidth="1"/>
    <col min="5" max="5" width="15" customWidth="1"/>
    <col min="6" max="6" width="12" customWidth="1"/>
    <col min="7" max="9" width="15" customWidth="1"/>
    <col min="10" max="10" width="36" customWidth="1"/>
    <col min="11" max="11" width="11" customWidth="1"/>
    <col min="12" max="12" width="30" customWidth="1"/>
    <col min="13" max="13" width="16" customWidth="1"/>
  </cols>
  <sheetData>
    <row r="1" spans="1:13" x14ac:dyDescent="0.45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4" t="s">
        <v>47</v>
      </c>
      <c r="K1" s="4" t="s">
        <v>48</v>
      </c>
      <c r="L1" s="4" t="s">
        <v>49</v>
      </c>
      <c r="M1" s="4" t="s">
        <v>50</v>
      </c>
    </row>
    <row r="2" spans="1:13" x14ac:dyDescent="0.45">
      <c r="A2" s="5">
        <v>45525.128460648149</v>
      </c>
      <c r="B2" s="6" t="s">
        <v>51</v>
      </c>
      <c r="C2" s="6" t="s">
        <v>51</v>
      </c>
      <c r="D2" s="6" t="s">
        <v>52</v>
      </c>
      <c r="E2" s="6">
        <v>1</v>
      </c>
      <c r="F2" s="7">
        <v>5</v>
      </c>
      <c r="G2" s="7">
        <v>5</v>
      </c>
      <c r="H2" s="8">
        <v>477.02595000000002</v>
      </c>
      <c r="I2" s="6" t="s">
        <v>53</v>
      </c>
      <c r="J2" s="6" t="s">
        <v>54</v>
      </c>
      <c r="K2" s="6" t="s">
        <v>55</v>
      </c>
      <c r="L2" s="6" t="s">
        <v>56</v>
      </c>
      <c r="M2" s="6">
        <v>7843097</v>
      </c>
    </row>
    <row r="3" spans="1:13" x14ac:dyDescent="0.45">
      <c r="A3" s="9">
        <v>45536.313472222217</v>
      </c>
      <c r="B3" s="3" t="s">
        <v>57</v>
      </c>
      <c r="C3" s="3" t="s">
        <v>57</v>
      </c>
      <c r="D3" s="3" t="s">
        <v>58</v>
      </c>
      <c r="E3" s="3">
        <v>1</v>
      </c>
      <c r="F3" s="10">
        <v>4</v>
      </c>
      <c r="G3" s="10">
        <v>4</v>
      </c>
      <c r="H3" s="11">
        <v>381.62076000000002</v>
      </c>
      <c r="I3" s="3" t="s">
        <v>59</v>
      </c>
      <c r="J3" s="3" t="s">
        <v>60</v>
      </c>
      <c r="K3" s="3" t="s">
        <v>55</v>
      </c>
      <c r="L3" s="3" t="s">
        <v>61</v>
      </c>
      <c r="M3" s="3">
        <v>7939866</v>
      </c>
    </row>
    <row r="4" spans="1:13" x14ac:dyDescent="0.45">
      <c r="A4" s="5">
        <v>45536.469687500001</v>
      </c>
      <c r="B4" s="6" t="s">
        <v>62</v>
      </c>
      <c r="C4" s="6" t="s">
        <v>62</v>
      </c>
      <c r="D4" s="6" t="s">
        <v>63</v>
      </c>
      <c r="E4" s="6">
        <v>1</v>
      </c>
      <c r="F4" s="7">
        <v>10</v>
      </c>
      <c r="G4" s="7">
        <v>10</v>
      </c>
      <c r="H4" s="8">
        <v>954.05190000000005</v>
      </c>
      <c r="I4" s="6" t="s">
        <v>53</v>
      </c>
      <c r="J4" s="6" t="s">
        <v>64</v>
      </c>
      <c r="K4" s="6" t="s">
        <v>55</v>
      </c>
      <c r="L4" s="6" t="s">
        <v>65</v>
      </c>
      <c r="M4" s="6">
        <v>7941118</v>
      </c>
    </row>
    <row r="5" spans="1:13" x14ac:dyDescent="0.45">
      <c r="A5" s="9">
        <v>45563.258402777778</v>
      </c>
      <c r="B5" s="3" t="s">
        <v>57</v>
      </c>
      <c r="C5" s="3" t="s">
        <v>57</v>
      </c>
      <c r="D5" s="3" t="s">
        <v>66</v>
      </c>
      <c r="E5" s="3">
        <v>1</v>
      </c>
      <c r="F5" s="10">
        <v>12</v>
      </c>
      <c r="G5" s="10">
        <v>12</v>
      </c>
      <c r="H5" s="11">
        <v>1144.8622800000001</v>
      </c>
      <c r="I5" s="3" t="s">
        <v>67</v>
      </c>
      <c r="J5" s="3"/>
      <c r="K5" s="3" t="s">
        <v>55</v>
      </c>
      <c r="L5" s="3" t="s">
        <v>68</v>
      </c>
      <c r="M5" s="3">
        <v>8186695</v>
      </c>
    </row>
    <row r="6" spans="1:13" x14ac:dyDescent="0.45">
      <c r="A6" s="5">
        <v>45574.90828703704</v>
      </c>
      <c r="B6" s="6" t="s">
        <v>57</v>
      </c>
      <c r="C6" s="6" t="s">
        <v>57</v>
      </c>
      <c r="D6" s="6" t="s">
        <v>58</v>
      </c>
      <c r="E6" s="6">
        <v>1</v>
      </c>
      <c r="F6" s="7">
        <v>5</v>
      </c>
      <c r="G6" s="7">
        <v>5</v>
      </c>
      <c r="H6" s="8">
        <v>477.02595000000002</v>
      </c>
      <c r="I6" s="6" t="s">
        <v>59</v>
      </c>
      <c r="J6" s="6" t="s">
        <v>69</v>
      </c>
      <c r="K6" s="6" t="s">
        <v>55</v>
      </c>
      <c r="L6" s="6" t="s">
        <v>70</v>
      </c>
      <c r="M6" s="6">
        <v>8309417</v>
      </c>
    </row>
    <row r="7" spans="1:13" x14ac:dyDescent="0.45">
      <c r="A7" s="9">
        <v>45584.145243055558</v>
      </c>
      <c r="B7" s="3" t="s">
        <v>71</v>
      </c>
      <c r="C7" s="3" t="s">
        <v>71</v>
      </c>
      <c r="D7" s="3" t="s">
        <v>72</v>
      </c>
      <c r="E7" s="3">
        <v>1</v>
      </c>
      <c r="F7" s="10">
        <v>23</v>
      </c>
      <c r="G7" s="10">
        <v>23</v>
      </c>
      <c r="H7" s="11">
        <v>2194.3193700000002</v>
      </c>
      <c r="I7" s="3" t="s">
        <v>53</v>
      </c>
      <c r="J7" s="3" t="s">
        <v>73</v>
      </c>
      <c r="K7" s="3" t="s">
        <v>55</v>
      </c>
      <c r="L7" s="3" t="s">
        <v>74</v>
      </c>
      <c r="M7" s="3">
        <v>8395988</v>
      </c>
    </row>
    <row r="8" spans="1:13" x14ac:dyDescent="0.45">
      <c r="A8" s="5">
        <v>45601.373067129629</v>
      </c>
      <c r="B8" s="6" t="s">
        <v>57</v>
      </c>
      <c r="C8" s="6" t="s">
        <v>57</v>
      </c>
      <c r="D8" s="6" t="s">
        <v>58</v>
      </c>
      <c r="E8" s="6">
        <v>1</v>
      </c>
      <c r="F8" s="7">
        <v>3</v>
      </c>
      <c r="G8" s="7">
        <v>3</v>
      </c>
      <c r="H8" s="8">
        <v>286.21557000000001</v>
      </c>
      <c r="I8" s="6" t="s">
        <v>59</v>
      </c>
      <c r="J8" s="6"/>
      <c r="K8" s="6" t="s">
        <v>55</v>
      </c>
      <c r="L8" s="6" t="s">
        <v>75</v>
      </c>
      <c r="M8" s="6">
        <v>8563277</v>
      </c>
    </row>
    <row r="9" spans="1:13" x14ac:dyDescent="0.45">
      <c r="A9" s="9">
        <v>45602.806134259263</v>
      </c>
      <c r="B9" s="3" t="s">
        <v>71</v>
      </c>
      <c r="C9" s="3" t="s">
        <v>71</v>
      </c>
      <c r="D9" s="3" t="s">
        <v>76</v>
      </c>
      <c r="E9" s="3">
        <v>1</v>
      </c>
      <c r="F9" s="10">
        <v>10</v>
      </c>
      <c r="G9" s="10">
        <v>10</v>
      </c>
      <c r="H9" s="11">
        <v>954.05190000000005</v>
      </c>
      <c r="I9" s="3" t="s">
        <v>53</v>
      </c>
      <c r="J9" s="3" t="s">
        <v>77</v>
      </c>
      <c r="K9" s="3" t="s">
        <v>55</v>
      </c>
      <c r="L9" s="3" t="s">
        <v>78</v>
      </c>
      <c r="M9" s="3">
        <v>8579406</v>
      </c>
    </row>
    <row r="10" spans="1:13" x14ac:dyDescent="0.45">
      <c r="A10" s="5">
        <v>45617.620185185187</v>
      </c>
      <c r="B10" s="6" t="s">
        <v>79</v>
      </c>
      <c r="C10" s="6" t="s">
        <v>79</v>
      </c>
      <c r="D10" s="6" t="s">
        <v>80</v>
      </c>
      <c r="E10" s="6">
        <v>1</v>
      </c>
      <c r="F10" s="7">
        <v>20</v>
      </c>
      <c r="G10" s="7">
        <v>20</v>
      </c>
      <c r="H10" s="8">
        <v>1908.1038000000001</v>
      </c>
      <c r="I10" s="6" t="s">
        <v>81</v>
      </c>
      <c r="J10" s="6" t="s">
        <v>82</v>
      </c>
      <c r="K10" s="6" t="s">
        <v>55</v>
      </c>
      <c r="L10" s="6" t="s">
        <v>83</v>
      </c>
      <c r="M10" s="6">
        <v>8731936</v>
      </c>
    </row>
    <row r="11" spans="1:13" x14ac:dyDescent="0.45">
      <c r="A11" s="9">
        <v>45631.639293981483</v>
      </c>
      <c r="B11" s="3" t="s">
        <v>84</v>
      </c>
      <c r="C11" s="3" t="s">
        <v>84</v>
      </c>
      <c r="D11" s="3" t="s">
        <v>85</v>
      </c>
      <c r="E11" s="3">
        <v>1</v>
      </c>
      <c r="F11" s="10">
        <v>15</v>
      </c>
      <c r="G11" s="10">
        <v>15</v>
      </c>
      <c r="H11" s="11">
        <v>1431.0778499999999</v>
      </c>
      <c r="I11" s="3" t="s">
        <v>86</v>
      </c>
      <c r="J11" s="3" t="s">
        <v>87</v>
      </c>
      <c r="K11" s="3" t="s">
        <v>55</v>
      </c>
      <c r="L11" s="3" t="s">
        <v>88</v>
      </c>
      <c r="M11" s="3">
        <v>8873820</v>
      </c>
    </row>
    <row r="12" spans="1:13" x14ac:dyDescent="0.45">
      <c r="A12" s="5">
        <v>45635.30777777778</v>
      </c>
      <c r="B12" s="6" t="s">
        <v>57</v>
      </c>
      <c r="C12" s="6" t="s">
        <v>57</v>
      </c>
      <c r="D12" s="6" t="s">
        <v>58</v>
      </c>
      <c r="E12" s="6">
        <v>1</v>
      </c>
      <c r="F12" s="7">
        <v>3</v>
      </c>
      <c r="G12" s="7">
        <v>3</v>
      </c>
      <c r="H12" s="8">
        <v>286.21557000000001</v>
      </c>
      <c r="I12" s="6" t="s">
        <v>59</v>
      </c>
      <c r="J12" s="6" t="s">
        <v>89</v>
      </c>
      <c r="K12" s="6" t="s">
        <v>55</v>
      </c>
      <c r="L12" s="6" t="s">
        <v>90</v>
      </c>
      <c r="M12" s="6">
        <v>8911324</v>
      </c>
    </row>
    <row r="13" spans="1:13" x14ac:dyDescent="0.45">
      <c r="A13" s="9">
        <v>45636.088738425933</v>
      </c>
      <c r="B13" s="3" t="s">
        <v>71</v>
      </c>
      <c r="C13" s="3" t="s">
        <v>71</v>
      </c>
      <c r="D13" s="3" t="s">
        <v>91</v>
      </c>
      <c r="E13" s="3">
        <v>1</v>
      </c>
      <c r="F13" s="10">
        <v>5</v>
      </c>
      <c r="G13" s="10">
        <v>5</v>
      </c>
      <c r="H13" s="11">
        <v>477.02595000000002</v>
      </c>
      <c r="I13" s="3" t="s">
        <v>53</v>
      </c>
      <c r="J13" s="3" t="s">
        <v>92</v>
      </c>
      <c r="K13" s="3" t="s">
        <v>55</v>
      </c>
      <c r="L13" s="3" t="s">
        <v>93</v>
      </c>
      <c r="M13" s="3">
        <v>8919142</v>
      </c>
    </row>
    <row r="14" spans="1:13" x14ac:dyDescent="0.45">
      <c r="A14" s="5">
        <v>45644.595578703702</v>
      </c>
      <c r="B14" s="6" t="s">
        <v>79</v>
      </c>
      <c r="C14" s="6" t="s">
        <v>79</v>
      </c>
      <c r="D14" s="6" t="s">
        <v>80</v>
      </c>
      <c r="E14" s="6">
        <v>1</v>
      </c>
      <c r="F14" s="7">
        <v>30</v>
      </c>
      <c r="G14" s="7">
        <v>30</v>
      </c>
      <c r="H14" s="8">
        <v>2862.1556999999998</v>
      </c>
      <c r="I14" s="6" t="s">
        <v>81</v>
      </c>
      <c r="J14" s="6" t="s">
        <v>94</v>
      </c>
      <c r="K14" s="6" t="s">
        <v>55</v>
      </c>
      <c r="L14" s="6" t="s">
        <v>95</v>
      </c>
      <c r="M14" s="6">
        <v>8996586</v>
      </c>
    </row>
    <row r="15" spans="1:13" x14ac:dyDescent="0.45">
      <c r="A15" s="9">
        <v>45664.688634259262</v>
      </c>
      <c r="B15" s="3" t="s">
        <v>57</v>
      </c>
      <c r="C15" s="3" t="s">
        <v>57</v>
      </c>
      <c r="D15" s="3" t="s">
        <v>58</v>
      </c>
      <c r="E15" s="3">
        <v>1</v>
      </c>
      <c r="F15" s="10">
        <v>3</v>
      </c>
      <c r="G15" s="10">
        <v>3</v>
      </c>
      <c r="H15" s="11">
        <v>286.21557000000001</v>
      </c>
      <c r="I15" s="3" t="s">
        <v>59</v>
      </c>
      <c r="J15" s="3" t="s">
        <v>60</v>
      </c>
      <c r="K15" s="3" t="s">
        <v>55</v>
      </c>
      <c r="L15" s="3" t="s">
        <v>96</v>
      </c>
      <c r="M15" s="3">
        <v>9193503</v>
      </c>
    </row>
    <row r="16" spans="1:13" x14ac:dyDescent="0.45">
      <c r="A16" s="5">
        <v>45689.872187499997</v>
      </c>
      <c r="B16" s="6" t="s">
        <v>97</v>
      </c>
      <c r="C16" s="6" t="s">
        <v>97</v>
      </c>
      <c r="D16" s="6" t="s">
        <v>98</v>
      </c>
      <c r="E16" s="6">
        <v>1</v>
      </c>
      <c r="F16" s="7">
        <v>6</v>
      </c>
      <c r="G16" s="7">
        <v>6</v>
      </c>
      <c r="H16" s="8">
        <v>572.43114000000003</v>
      </c>
      <c r="I16" s="6" t="s">
        <v>81</v>
      </c>
      <c r="J16" s="6" t="s">
        <v>99</v>
      </c>
      <c r="K16" s="6" t="s">
        <v>55</v>
      </c>
      <c r="L16" s="6" t="s">
        <v>100</v>
      </c>
      <c r="M16" s="6">
        <v>9450978</v>
      </c>
    </row>
    <row r="17" spans="1:13" x14ac:dyDescent="0.45">
      <c r="A17" s="9">
        <v>45692.706689814811</v>
      </c>
      <c r="B17" s="3" t="s">
        <v>57</v>
      </c>
      <c r="C17" s="3" t="s">
        <v>57</v>
      </c>
      <c r="D17" s="3" t="s">
        <v>58</v>
      </c>
      <c r="E17" s="3">
        <v>1</v>
      </c>
      <c r="F17" s="10">
        <v>3</v>
      </c>
      <c r="G17" s="10">
        <v>3</v>
      </c>
      <c r="H17" s="11">
        <v>286.21557000000001</v>
      </c>
      <c r="I17" s="3" t="s">
        <v>59</v>
      </c>
      <c r="J17" s="3"/>
      <c r="K17" s="3" t="s">
        <v>55</v>
      </c>
      <c r="L17" s="3" t="s">
        <v>101</v>
      </c>
      <c r="M17" s="3">
        <v>9479310</v>
      </c>
    </row>
    <row r="18" spans="1:13" x14ac:dyDescent="0.45">
      <c r="A18" s="5">
        <v>45705.860393518517</v>
      </c>
      <c r="B18" s="6" t="s">
        <v>71</v>
      </c>
      <c r="C18" s="6" t="s">
        <v>71</v>
      </c>
      <c r="D18" s="6" t="s">
        <v>72</v>
      </c>
      <c r="E18" s="6">
        <v>1</v>
      </c>
      <c r="F18" s="7">
        <v>10</v>
      </c>
      <c r="G18" s="7">
        <v>10</v>
      </c>
      <c r="H18" s="8">
        <v>954.05190000000005</v>
      </c>
      <c r="I18" s="6" t="s">
        <v>53</v>
      </c>
      <c r="J18" s="6" t="s">
        <v>102</v>
      </c>
      <c r="K18" s="6" t="s">
        <v>55</v>
      </c>
      <c r="L18" s="6" t="s">
        <v>103</v>
      </c>
      <c r="M18" s="6">
        <v>9609024</v>
      </c>
    </row>
    <row r="19" spans="1:13" x14ac:dyDescent="0.45">
      <c r="A19" s="9">
        <v>45726.87909722222</v>
      </c>
      <c r="B19" s="3" t="s">
        <v>57</v>
      </c>
      <c r="C19" s="3" t="s">
        <v>57</v>
      </c>
      <c r="D19" s="3" t="s">
        <v>58</v>
      </c>
      <c r="E19" s="3">
        <v>1</v>
      </c>
      <c r="F19" s="10">
        <v>3</v>
      </c>
      <c r="G19" s="10">
        <v>3</v>
      </c>
      <c r="H19" s="11">
        <v>286.21557000000001</v>
      </c>
      <c r="I19" s="3" t="s">
        <v>59</v>
      </c>
      <c r="J19" s="3"/>
      <c r="K19" s="3" t="s">
        <v>55</v>
      </c>
      <c r="L19" s="3" t="s">
        <v>104</v>
      </c>
      <c r="M19" s="3">
        <v>9821327</v>
      </c>
    </row>
    <row r="20" spans="1:13" x14ac:dyDescent="0.45">
      <c r="A20" s="5">
        <v>45763.664594907408</v>
      </c>
      <c r="B20" s="6" t="s">
        <v>57</v>
      </c>
      <c r="C20" s="6" t="s">
        <v>57</v>
      </c>
      <c r="D20" s="6" t="s">
        <v>105</v>
      </c>
      <c r="E20" s="6">
        <v>1</v>
      </c>
      <c r="F20" s="7">
        <v>3</v>
      </c>
      <c r="G20" s="7">
        <v>3</v>
      </c>
      <c r="H20" s="8">
        <v>286.21557000000001</v>
      </c>
      <c r="I20" s="6" t="s">
        <v>59</v>
      </c>
      <c r="J20" s="6"/>
      <c r="K20" s="6" t="s">
        <v>55</v>
      </c>
      <c r="L20" s="6" t="s">
        <v>106</v>
      </c>
      <c r="M20" s="6">
        <v>10190394</v>
      </c>
    </row>
    <row r="21" spans="1:13" x14ac:dyDescent="0.45">
      <c r="A21" s="9">
        <v>45819.932430555556</v>
      </c>
      <c r="B21" s="3" t="s">
        <v>51</v>
      </c>
      <c r="C21" s="3" t="s">
        <v>51</v>
      </c>
      <c r="D21" s="3" t="s">
        <v>52</v>
      </c>
      <c r="E21" s="3">
        <v>1</v>
      </c>
      <c r="F21" s="10">
        <v>10</v>
      </c>
      <c r="G21" s="10">
        <v>10</v>
      </c>
      <c r="H21" s="11">
        <v>954.05190000000005</v>
      </c>
      <c r="I21" s="3" t="s">
        <v>53</v>
      </c>
      <c r="J21" s="3" t="s">
        <v>107</v>
      </c>
      <c r="K21" s="3" t="s">
        <v>55</v>
      </c>
      <c r="L21" s="3" t="s">
        <v>108</v>
      </c>
      <c r="M21" s="3">
        <v>10738723</v>
      </c>
    </row>
    <row r="22" spans="1:13" x14ac:dyDescent="0.45">
      <c r="A22" s="5">
        <v>45822.809050925927</v>
      </c>
      <c r="B22" s="6" t="s">
        <v>84</v>
      </c>
      <c r="C22" s="6" t="s">
        <v>84</v>
      </c>
      <c r="D22" s="6" t="s">
        <v>85</v>
      </c>
      <c r="E22" s="6">
        <v>1</v>
      </c>
      <c r="F22" s="7">
        <v>5</v>
      </c>
      <c r="G22" s="7">
        <v>5</v>
      </c>
      <c r="H22" s="8">
        <v>477.02595000000002</v>
      </c>
      <c r="I22" s="6" t="s">
        <v>86</v>
      </c>
      <c r="J22" s="6"/>
      <c r="K22" s="6" t="s">
        <v>55</v>
      </c>
      <c r="L22" s="6" t="s">
        <v>109</v>
      </c>
      <c r="M22" s="6">
        <v>10766332</v>
      </c>
    </row>
    <row r="23" spans="1:13" x14ac:dyDescent="0.45">
      <c r="A23" s="9">
        <v>45858.990601851852</v>
      </c>
      <c r="B23" s="3" t="s">
        <v>57</v>
      </c>
      <c r="C23" s="3" t="s">
        <v>57</v>
      </c>
      <c r="D23" s="3" t="s">
        <v>58</v>
      </c>
      <c r="E23" s="3">
        <v>1</v>
      </c>
      <c r="F23" s="10">
        <v>9</v>
      </c>
      <c r="G23" s="10">
        <v>9</v>
      </c>
      <c r="H23" s="11">
        <v>858.64670999999998</v>
      </c>
      <c r="I23" s="3" t="s">
        <v>59</v>
      </c>
      <c r="J23" s="3" t="s">
        <v>60</v>
      </c>
      <c r="K23" s="3" t="s">
        <v>55</v>
      </c>
      <c r="L23" s="3" t="s">
        <v>110</v>
      </c>
      <c r="M23" s="3">
        <v>11128375</v>
      </c>
    </row>
    <row r="24" spans="1:13" x14ac:dyDescent="0.45">
      <c r="A24" s="5">
        <v>45935.723819444444</v>
      </c>
      <c r="B24" s="6" t="s">
        <v>57</v>
      </c>
      <c r="C24" s="6" t="s">
        <v>57</v>
      </c>
      <c r="D24" s="6" t="s">
        <v>58</v>
      </c>
      <c r="E24" s="6">
        <v>1</v>
      </c>
      <c r="F24" s="7">
        <v>9</v>
      </c>
      <c r="G24" s="7">
        <v>9</v>
      </c>
      <c r="H24" s="8">
        <v>858.64670999999998</v>
      </c>
      <c r="I24" s="6" t="s">
        <v>59</v>
      </c>
      <c r="J24" s="6"/>
      <c r="K24" s="6" t="s">
        <v>55</v>
      </c>
      <c r="L24" s="6" t="s">
        <v>111</v>
      </c>
      <c r="M24" s="6">
        <v>11864947</v>
      </c>
    </row>
    <row r="25" spans="1:13" x14ac:dyDescent="0.45">
      <c r="A25" s="9">
        <v>45952.51734953704</v>
      </c>
      <c r="B25" s="3" t="s">
        <v>84</v>
      </c>
      <c r="C25" s="3" t="s">
        <v>84</v>
      </c>
      <c r="D25" s="3" t="s">
        <v>85</v>
      </c>
      <c r="E25" s="3">
        <v>1</v>
      </c>
      <c r="F25" s="10">
        <v>15</v>
      </c>
      <c r="G25" s="10">
        <v>15</v>
      </c>
      <c r="H25" s="11">
        <v>1431.0778499999999</v>
      </c>
      <c r="I25" s="3" t="s">
        <v>86</v>
      </c>
      <c r="J25" s="3" t="s">
        <v>112</v>
      </c>
      <c r="K25" s="3" t="s">
        <v>55</v>
      </c>
      <c r="L25" s="3" t="s">
        <v>113</v>
      </c>
      <c r="M25" s="3">
        <v>12030853</v>
      </c>
    </row>
    <row r="26" spans="1:13" x14ac:dyDescent="0.45">
      <c r="A26" s="5">
        <v>46019.523958333331</v>
      </c>
      <c r="B26" s="6" t="s">
        <v>114</v>
      </c>
      <c r="C26" s="6" t="s">
        <v>114</v>
      </c>
      <c r="D26" s="6" t="s">
        <v>115</v>
      </c>
      <c r="E26" s="6">
        <v>1</v>
      </c>
      <c r="F26" s="7">
        <v>1</v>
      </c>
      <c r="G26" s="7">
        <v>1</v>
      </c>
      <c r="H26" s="8">
        <v>95.405190000000005</v>
      </c>
      <c r="I26" s="6" t="s">
        <v>116</v>
      </c>
      <c r="J26" s="6"/>
      <c r="K26" s="6" t="s">
        <v>55</v>
      </c>
      <c r="L26" s="6" t="s">
        <v>117</v>
      </c>
      <c r="M26" s="6">
        <v>12733990</v>
      </c>
    </row>
    <row r="27" spans="1:13" x14ac:dyDescent="0.45">
      <c r="A27" s="9">
        <v>46066.356064814812</v>
      </c>
      <c r="B27" s="3" t="s">
        <v>118</v>
      </c>
      <c r="C27" s="3" t="s">
        <v>119</v>
      </c>
      <c r="D27" s="3" t="s">
        <v>120</v>
      </c>
      <c r="E27" s="3">
        <v>1</v>
      </c>
      <c r="F27" s="10">
        <v>50</v>
      </c>
      <c r="G27" s="10">
        <v>50</v>
      </c>
      <c r="H27" s="11">
        <v>4770.2595000000001</v>
      </c>
      <c r="I27" s="3" t="s">
        <v>81</v>
      </c>
      <c r="J27" s="3"/>
      <c r="K27" s="3" t="s">
        <v>55</v>
      </c>
      <c r="L27" s="3" t="s">
        <v>121</v>
      </c>
      <c r="M27" s="3">
        <v>13241499</v>
      </c>
    </row>
    <row r="28" spans="1:13" x14ac:dyDescent="0.45">
      <c r="D28" s="12" t="s">
        <v>122</v>
      </c>
      <c r="E28" s="13">
        <f>SUM(E2:E27)</f>
        <v>26</v>
      </c>
      <c r="G28" s="14">
        <f>SUM(G2:G27)</f>
        <v>272</v>
      </c>
      <c r="H28" s="15">
        <f>SUM(H2:H27)</f>
        <v>25950.211680000004</v>
      </c>
    </row>
  </sheetData>
  <autoFilter ref="A1:M27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2" customWidth="1"/>
    <col min="2" max="3" width="16" customWidth="1"/>
    <col min="4" max="4" width="28" customWidth="1"/>
    <col min="5" max="5" width="15" customWidth="1"/>
    <col min="6" max="6" width="12" customWidth="1"/>
    <col min="7" max="9" width="15" customWidth="1"/>
    <col min="10" max="10" width="36" customWidth="1"/>
    <col min="11" max="11" width="11" customWidth="1"/>
    <col min="12" max="12" width="30" customWidth="1"/>
    <col min="13" max="13" width="16" customWidth="1"/>
  </cols>
  <sheetData>
    <row r="1" spans="1:13" x14ac:dyDescent="0.45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4" t="s">
        <v>47</v>
      </c>
      <c r="K1" s="4" t="s">
        <v>48</v>
      </c>
      <c r="L1" s="4" t="s">
        <v>49</v>
      </c>
      <c r="M1" s="4" t="s">
        <v>50</v>
      </c>
    </row>
    <row r="2" spans="1:13" x14ac:dyDescent="0.45">
      <c r="A2" s="16">
        <v>45525.128460648149</v>
      </c>
      <c r="B2" s="17" t="s">
        <v>51</v>
      </c>
      <c r="C2" s="17" t="s">
        <v>51</v>
      </c>
      <c r="D2" s="17" t="s">
        <v>52</v>
      </c>
      <c r="E2" s="17">
        <v>1</v>
      </c>
      <c r="F2" s="18">
        <v>5</v>
      </c>
      <c r="G2" s="18">
        <v>5</v>
      </c>
      <c r="H2" s="19">
        <v>477.02595000000002</v>
      </c>
      <c r="I2" s="17" t="s">
        <v>53</v>
      </c>
      <c r="J2" s="17" t="s">
        <v>54</v>
      </c>
      <c r="K2" s="17" t="s">
        <v>55</v>
      </c>
      <c r="L2" s="17" t="s">
        <v>56</v>
      </c>
      <c r="M2" s="17">
        <v>7843097</v>
      </c>
    </row>
    <row r="3" spans="1:13" x14ac:dyDescent="0.45">
      <c r="A3" s="20">
        <v>45536.313472222217</v>
      </c>
      <c r="B3" s="21" t="s">
        <v>57</v>
      </c>
      <c r="C3" s="21" t="s">
        <v>57</v>
      </c>
      <c r="D3" s="21" t="s">
        <v>58</v>
      </c>
      <c r="E3" s="21">
        <v>1</v>
      </c>
      <c r="F3" s="22">
        <v>4</v>
      </c>
      <c r="G3" s="22">
        <v>4</v>
      </c>
      <c r="H3" s="23">
        <v>381.62076000000002</v>
      </c>
      <c r="I3" s="21" t="s">
        <v>59</v>
      </c>
      <c r="J3" s="21" t="s">
        <v>60</v>
      </c>
      <c r="K3" s="21" t="s">
        <v>55</v>
      </c>
      <c r="L3" s="21" t="s">
        <v>61</v>
      </c>
      <c r="M3" s="21">
        <v>7939866</v>
      </c>
    </row>
    <row r="4" spans="1:13" x14ac:dyDescent="0.45">
      <c r="A4" s="24">
        <v>45536.469687500001</v>
      </c>
      <c r="B4" s="25" t="s">
        <v>62</v>
      </c>
      <c r="C4" s="25" t="s">
        <v>62</v>
      </c>
      <c r="D4" s="25" t="s">
        <v>63</v>
      </c>
      <c r="E4" s="25">
        <v>1</v>
      </c>
      <c r="F4" s="26">
        <v>10</v>
      </c>
      <c r="G4" s="26">
        <v>10</v>
      </c>
      <c r="H4" s="27">
        <v>954.05190000000005</v>
      </c>
      <c r="I4" s="25" t="s">
        <v>53</v>
      </c>
      <c r="J4" s="25" t="s">
        <v>64</v>
      </c>
      <c r="K4" s="25" t="s">
        <v>55</v>
      </c>
      <c r="L4" s="25" t="s">
        <v>65</v>
      </c>
      <c r="M4" s="25">
        <v>7941118</v>
      </c>
    </row>
    <row r="5" spans="1:13" x14ac:dyDescent="0.45">
      <c r="A5" s="28">
        <v>45563.258402777778</v>
      </c>
      <c r="B5" s="29" t="s">
        <v>57</v>
      </c>
      <c r="C5" s="29" t="s">
        <v>57</v>
      </c>
      <c r="D5" s="29" t="s">
        <v>66</v>
      </c>
      <c r="E5" s="29">
        <v>1</v>
      </c>
      <c r="F5" s="30">
        <v>12</v>
      </c>
      <c r="G5" s="30">
        <v>12</v>
      </c>
      <c r="H5" s="31">
        <v>1144.8622800000001</v>
      </c>
      <c r="I5" s="29" t="s">
        <v>67</v>
      </c>
      <c r="J5" s="29"/>
      <c r="K5" s="29" t="s">
        <v>55</v>
      </c>
      <c r="L5" s="29" t="s">
        <v>68</v>
      </c>
      <c r="M5" s="29">
        <v>8186695</v>
      </c>
    </row>
    <row r="6" spans="1:13" x14ac:dyDescent="0.45">
      <c r="A6" s="20">
        <v>45574.90828703704</v>
      </c>
      <c r="B6" s="21" t="s">
        <v>57</v>
      </c>
      <c r="C6" s="21" t="s">
        <v>57</v>
      </c>
      <c r="D6" s="21" t="s">
        <v>58</v>
      </c>
      <c r="E6" s="21">
        <v>1</v>
      </c>
      <c r="F6" s="22">
        <v>5</v>
      </c>
      <c r="G6" s="22">
        <v>5</v>
      </c>
      <c r="H6" s="23">
        <v>477.02595000000002</v>
      </c>
      <c r="I6" s="21" t="s">
        <v>59</v>
      </c>
      <c r="J6" s="21" t="s">
        <v>69</v>
      </c>
      <c r="K6" s="21" t="s">
        <v>55</v>
      </c>
      <c r="L6" s="21" t="s">
        <v>70</v>
      </c>
      <c r="M6" s="21">
        <v>8309417</v>
      </c>
    </row>
    <row r="7" spans="1:13" x14ac:dyDescent="0.45">
      <c r="A7" s="32">
        <v>45584.145243055558</v>
      </c>
      <c r="B7" s="33" t="s">
        <v>71</v>
      </c>
      <c r="C7" s="33" t="s">
        <v>71</v>
      </c>
      <c r="D7" s="33" t="s">
        <v>72</v>
      </c>
      <c r="E7" s="33">
        <v>1</v>
      </c>
      <c r="F7" s="34">
        <v>23</v>
      </c>
      <c r="G7" s="34">
        <v>23</v>
      </c>
      <c r="H7" s="35">
        <v>2194.3193700000002</v>
      </c>
      <c r="I7" s="33" t="s">
        <v>53</v>
      </c>
      <c r="J7" s="33" t="s">
        <v>73</v>
      </c>
      <c r="K7" s="33" t="s">
        <v>55</v>
      </c>
      <c r="L7" s="33" t="s">
        <v>74</v>
      </c>
      <c r="M7" s="33">
        <v>8395988</v>
      </c>
    </row>
    <row r="8" spans="1:13" x14ac:dyDescent="0.45">
      <c r="A8" s="20">
        <v>45601.373067129629</v>
      </c>
      <c r="B8" s="21" t="s">
        <v>57</v>
      </c>
      <c r="C8" s="21" t="s">
        <v>57</v>
      </c>
      <c r="D8" s="21" t="s">
        <v>58</v>
      </c>
      <c r="E8" s="21">
        <v>1</v>
      </c>
      <c r="F8" s="22">
        <v>3</v>
      </c>
      <c r="G8" s="22">
        <v>3</v>
      </c>
      <c r="H8" s="23">
        <v>286.21557000000001</v>
      </c>
      <c r="I8" s="21" t="s">
        <v>59</v>
      </c>
      <c r="J8" s="21"/>
      <c r="K8" s="21" t="s">
        <v>55</v>
      </c>
      <c r="L8" s="21" t="s">
        <v>75</v>
      </c>
      <c r="M8" s="21">
        <v>8563277</v>
      </c>
    </row>
    <row r="9" spans="1:13" x14ac:dyDescent="0.45">
      <c r="A9" s="36">
        <v>45602.806134259263</v>
      </c>
      <c r="B9" s="37" t="s">
        <v>71</v>
      </c>
      <c r="C9" s="37" t="s">
        <v>71</v>
      </c>
      <c r="D9" s="37" t="s">
        <v>76</v>
      </c>
      <c r="E9" s="37">
        <v>1</v>
      </c>
      <c r="F9" s="38">
        <v>10</v>
      </c>
      <c r="G9" s="38">
        <v>10</v>
      </c>
      <c r="H9" s="39">
        <v>954.05190000000005</v>
      </c>
      <c r="I9" s="37" t="s">
        <v>53</v>
      </c>
      <c r="J9" s="37" t="s">
        <v>77</v>
      </c>
      <c r="K9" s="37" t="s">
        <v>55</v>
      </c>
      <c r="L9" s="37" t="s">
        <v>78</v>
      </c>
      <c r="M9" s="37">
        <v>8579406</v>
      </c>
    </row>
    <row r="10" spans="1:13" x14ac:dyDescent="0.45">
      <c r="A10" s="40">
        <v>45617.620185185187</v>
      </c>
      <c r="B10" s="41" t="s">
        <v>79</v>
      </c>
      <c r="C10" s="41" t="s">
        <v>79</v>
      </c>
      <c r="D10" s="41" t="s">
        <v>80</v>
      </c>
      <c r="E10" s="41">
        <v>1</v>
      </c>
      <c r="F10" s="42">
        <v>20</v>
      </c>
      <c r="G10" s="42">
        <v>20</v>
      </c>
      <c r="H10" s="43">
        <v>1908.1038000000001</v>
      </c>
      <c r="I10" s="41" t="s">
        <v>81</v>
      </c>
      <c r="J10" s="41" t="s">
        <v>82</v>
      </c>
      <c r="K10" s="41" t="s">
        <v>55</v>
      </c>
      <c r="L10" s="41" t="s">
        <v>83</v>
      </c>
      <c r="M10" s="41">
        <v>8731936</v>
      </c>
    </row>
    <row r="11" spans="1:13" x14ac:dyDescent="0.45">
      <c r="A11" s="44">
        <v>45631.639293981483</v>
      </c>
      <c r="B11" s="45" t="s">
        <v>84</v>
      </c>
      <c r="C11" s="45" t="s">
        <v>84</v>
      </c>
      <c r="D11" s="45" t="s">
        <v>85</v>
      </c>
      <c r="E11" s="45">
        <v>1</v>
      </c>
      <c r="F11" s="46">
        <v>15</v>
      </c>
      <c r="G11" s="46">
        <v>15</v>
      </c>
      <c r="H11" s="47">
        <v>1431.0778499999999</v>
      </c>
      <c r="I11" s="45" t="s">
        <v>86</v>
      </c>
      <c r="J11" s="45" t="s">
        <v>87</v>
      </c>
      <c r="K11" s="45" t="s">
        <v>55</v>
      </c>
      <c r="L11" s="45" t="s">
        <v>88</v>
      </c>
      <c r="M11" s="45">
        <v>8873820</v>
      </c>
    </row>
    <row r="12" spans="1:13" x14ac:dyDescent="0.45">
      <c r="A12" s="20">
        <v>45635.30777777778</v>
      </c>
      <c r="B12" s="21" t="s">
        <v>57</v>
      </c>
      <c r="C12" s="21" t="s">
        <v>57</v>
      </c>
      <c r="D12" s="21" t="s">
        <v>58</v>
      </c>
      <c r="E12" s="21">
        <v>1</v>
      </c>
      <c r="F12" s="22">
        <v>3</v>
      </c>
      <c r="G12" s="22">
        <v>3</v>
      </c>
      <c r="H12" s="23">
        <v>286.21557000000001</v>
      </c>
      <c r="I12" s="21" t="s">
        <v>59</v>
      </c>
      <c r="J12" s="21" t="s">
        <v>89</v>
      </c>
      <c r="K12" s="21" t="s">
        <v>55</v>
      </c>
      <c r="L12" s="21" t="s">
        <v>90</v>
      </c>
      <c r="M12" s="21">
        <v>8911324</v>
      </c>
    </row>
    <row r="13" spans="1:13" x14ac:dyDescent="0.45">
      <c r="A13" s="48">
        <v>45636.088738425933</v>
      </c>
      <c r="B13" s="49" t="s">
        <v>71</v>
      </c>
      <c r="C13" s="49" t="s">
        <v>71</v>
      </c>
      <c r="D13" s="49" t="s">
        <v>91</v>
      </c>
      <c r="E13" s="49">
        <v>1</v>
      </c>
      <c r="F13" s="50">
        <v>5</v>
      </c>
      <c r="G13" s="50">
        <v>5</v>
      </c>
      <c r="H13" s="51">
        <v>477.02595000000002</v>
      </c>
      <c r="I13" s="49" t="s">
        <v>53</v>
      </c>
      <c r="J13" s="49" t="s">
        <v>92</v>
      </c>
      <c r="K13" s="49" t="s">
        <v>55</v>
      </c>
      <c r="L13" s="49" t="s">
        <v>93</v>
      </c>
      <c r="M13" s="49">
        <v>8919142</v>
      </c>
    </row>
    <row r="14" spans="1:13" x14ac:dyDescent="0.45">
      <c r="A14" s="40">
        <v>45644.595578703702</v>
      </c>
      <c r="B14" s="41" t="s">
        <v>79</v>
      </c>
      <c r="C14" s="41" t="s">
        <v>79</v>
      </c>
      <c r="D14" s="41" t="s">
        <v>80</v>
      </c>
      <c r="E14" s="41">
        <v>1</v>
      </c>
      <c r="F14" s="42">
        <v>30</v>
      </c>
      <c r="G14" s="42">
        <v>30</v>
      </c>
      <c r="H14" s="43">
        <v>2862.1556999999998</v>
      </c>
      <c r="I14" s="41" t="s">
        <v>81</v>
      </c>
      <c r="J14" s="41" t="s">
        <v>94</v>
      </c>
      <c r="K14" s="41" t="s">
        <v>55</v>
      </c>
      <c r="L14" s="41" t="s">
        <v>95</v>
      </c>
      <c r="M14" s="41">
        <v>8996586</v>
      </c>
    </row>
    <row r="15" spans="1:13" x14ac:dyDescent="0.45">
      <c r="A15" s="20">
        <v>45664.688634259262</v>
      </c>
      <c r="B15" s="21" t="s">
        <v>57</v>
      </c>
      <c r="C15" s="21" t="s">
        <v>57</v>
      </c>
      <c r="D15" s="21" t="s">
        <v>58</v>
      </c>
      <c r="E15" s="21">
        <v>1</v>
      </c>
      <c r="F15" s="22">
        <v>3</v>
      </c>
      <c r="G15" s="22">
        <v>3</v>
      </c>
      <c r="H15" s="23">
        <v>286.21557000000001</v>
      </c>
      <c r="I15" s="21" t="s">
        <v>59</v>
      </c>
      <c r="J15" s="21" t="s">
        <v>60</v>
      </c>
      <c r="K15" s="21" t="s">
        <v>55</v>
      </c>
      <c r="L15" s="21" t="s">
        <v>96</v>
      </c>
      <c r="M15" s="21">
        <v>9193503</v>
      </c>
    </row>
    <row r="16" spans="1:13" x14ac:dyDescent="0.45">
      <c r="A16" s="52">
        <v>45689.872187499997</v>
      </c>
      <c r="B16" s="53" t="s">
        <v>97</v>
      </c>
      <c r="C16" s="53" t="s">
        <v>97</v>
      </c>
      <c r="D16" s="53" t="s">
        <v>98</v>
      </c>
      <c r="E16" s="53">
        <v>1</v>
      </c>
      <c r="F16" s="54">
        <v>6</v>
      </c>
      <c r="G16" s="54">
        <v>6</v>
      </c>
      <c r="H16" s="55">
        <v>572.43114000000003</v>
      </c>
      <c r="I16" s="53" t="s">
        <v>81</v>
      </c>
      <c r="J16" s="53" t="s">
        <v>99</v>
      </c>
      <c r="K16" s="53" t="s">
        <v>55</v>
      </c>
      <c r="L16" s="53" t="s">
        <v>100</v>
      </c>
      <c r="M16" s="53">
        <v>9450978</v>
      </c>
    </row>
    <row r="17" spans="1:13" x14ac:dyDescent="0.45">
      <c r="A17" s="20">
        <v>45692.706689814811</v>
      </c>
      <c r="B17" s="21" t="s">
        <v>57</v>
      </c>
      <c r="C17" s="21" t="s">
        <v>57</v>
      </c>
      <c r="D17" s="21" t="s">
        <v>58</v>
      </c>
      <c r="E17" s="21">
        <v>1</v>
      </c>
      <c r="F17" s="22">
        <v>3</v>
      </c>
      <c r="G17" s="22">
        <v>3</v>
      </c>
      <c r="H17" s="23">
        <v>286.21557000000001</v>
      </c>
      <c r="I17" s="21" t="s">
        <v>59</v>
      </c>
      <c r="J17" s="21"/>
      <c r="K17" s="21" t="s">
        <v>55</v>
      </c>
      <c r="L17" s="21" t="s">
        <v>101</v>
      </c>
      <c r="M17" s="21">
        <v>9479310</v>
      </c>
    </row>
    <row r="18" spans="1:13" x14ac:dyDescent="0.45">
      <c r="A18" s="32">
        <v>45705.860393518517</v>
      </c>
      <c r="B18" s="33" t="s">
        <v>71</v>
      </c>
      <c r="C18" s="33" t="s">
        <v>71</v>
      </c>
      <c r="D18" s="33" t="s">
        <v>72</v>
      </c>
      <c r="E18" s="33">
        <v>1</v>
      </c>
      <c r="F18" s="34">
        <v>10</v>
      </c>
      <c r="G18" s="34">
        <v>10</v>
      </c>
      <c r="H18" s="35">
        <v>954.05190000000005</v>
      </c>
      <c r="I18" s="33" t="s">
        <v>53</v>
      </c>
      <c r="J18" s="33" t="s">
        <v>102</v>
      </c>
      <c r="K18" s="33" t="s">
        <v>55</v>
      </c>
      <c r="L18" s="33" t="s">
        <v>103</v>
      </c>
      <c r="M18" s="33">
        <v>9609024</v>
      </c>
    </row>
    <row r="19" spans="1:13" x14ac:dyDescent="0.45">
      <c r="A19" s="20">
        <v>45726.87909722222</v>
      </c>
      <c r="B19" s="21" t="s">
        <v>57</v>
      </c>
      <c r="C19" s="21" t="s">
        <v>57</v>
      </c>
      <c r="D19" s="21" t="s">
        <v>58</v>
      </c>
      <c r="E19" s="21">
        <v>1</v>
      </c>
      <c r="F19" s="22">
        <v>3</v>
      </c>
      <c r="G19" s="22">
        <v>3</v>
      </c>
      <c r="H19" s="23">
        <v>286.21557000000001</v>
      </c>
      <c r="I19" s="21" t="s">
        <v>59</v>
      </c>
      <c r="J19" s="21"/>
      <c r="K19" s="21" t="s">
        <v>55</v>
      </c>
      <c r="L19" s="21" t="s">
        <v>104</v>
      </c>
      <c r="M19" s="21">
        <v>9821327</v>
      </c>
    </row>
    <row r="20" spans="1:13" x14ac:dyDescent="0.45">
      <c r="A20" s="56">
        <v>45763.664594907408</v>
      </c>
      <c r="B20" s="57" t="s">
        <v>57</v>
      </c>
      <c r="C20" s="57" t="s">
        <v>57</v>
      </c>
      <c r="D20" s="57" t="s">
        <v>105</v>
      </c>
      <c r="E20" s="57">
        <v>1</v>
      </c>
      <c r="F20" s="58">
        <v>3</v>
      </c>
      <c r="G20" s="58">
        <v>3</v>
      </c>
      <c r="H20" s="59">
        <v>286.21557000000001</v>
      </c>
      <c r="I20" s="57" t="s">
        <v>59</v>
      </c>
      <c r="J20" s="57"/>
      <c r="K20" s="57" t="s">
        <v>55</v>
      </c>
      <c r="L20" s="57" t="s">
        <v>106</v>
      </c>
      <c r="M20" s="57">
        <v>10190394</v>
      </c>
    </row>
    <row r="21" spans="1:13" x14ac:dyDescent="0.45">
      <c r="A21" s="16">
        <v>45819.932430555556</v>
      </c>
      <c r="B21" s="17" t="s">
        <v>51</v>
      </c>
      <c r="C21" s="17" t="s">
        <v>51</v>
      </c>
      <c r="D21" s="17" t="s">
        <v>52</v>
      </c>
      <c r="E21" s="17">
        <v>1</v>
      </c>
      <c r="F21" s="18">
        <v>10</v>
      </c>
      <c r="G21" s="18">
        <v>10</v>
      </c>
      <c r="H21" s="19">
        <v>954.05190000000005</v>
      </c>
      <c r="I21" s="17" t="s">
        <v>53</v>
      </c>
      <c r="J21" s="17" t="s">
        <v>107</v>
      </c>
      <c r="K21" s="17" t="s">
        <v>55</v>
      </c>
      <c r="L21" s="17" t="s">
        <v>108</v>
      </c>
      <c r="M21" s="17">
        <v>10738723</v>
      </c>
    </row>
    <row r="22" spans="1:13" x14ac:dyDescent="0.45">
      <c r="A22" s="44">
        <v>45822.809050925927</v>
      </c>
      <c r="B22" s="45" t="s">
        <v>84</v>
      </c>
      <c r="C22" s="45" t="s">
        <v>84</v>
      </c>
      <c r="D22" s="45" t="s">
        <v>85</v>
      </c>
      <c r="E22" s="45">
        <v>1</v>
      </c>
      <c r="F22" s="46">
        <v>5</v>
      </c>
      <c r="G22" s="46">
        <v>5</v>
      </c>
      <c r="H22" s="47">
        <v>477.02595000000002</v>
      </c>
      <c r="I22" s="45" t="s">
        <v>86</v>
      </c>
      <c r="J22" s="45"/>
      <c r="K22" s="45" t="s">
        <v>55</v>
      </c>
      <c r="L22" s="45" t="s">
        <v>109</v>
      </c>
      <c r="M22" s="45">
        <v>10766332</v>
      </c>
    </row>
    <row r="23" spans="1:13" x14ac:dyDescent="0.45">
      <c r="A23" s="20">
        <v>45858.990601851852</v>
      </c>
      <c r="B23" s="21" t="s">
        <v>57</v>
      </c>
      <c r="C23" s="21" t="s">
        <v>57</v>
      </c>
      <c r="D23" s="21" t="s">
        <v>58</v>
      </c>
      <c r="E23" s="21">
        <v>1</v>
      </c>
      <c r="F23" s="22">
        <v>9</v>
      </c>
      <c r="G23" s="22">
        <v>9</v>
      </c>
      <c r="H23" s="23">
        <v>858.64670999999998</v>
      </c>
      <c r="I23" s="21" t="s">
        <v>59</v>
      </c>
      <c r="J23" s="21" t="s">
        <v>60</v>
      </c>
      <c r="K23" s="21" t="s">
        <v>55</v>
      </c>
      <c r="L23" s="21" t="s">
        <v>110</v>
      </c>
      <c r="M23" s="21">
        <v>11128375</v>
      </c>
    </row>
    <row r="24" spans="1:13" x14ac:dyDescent="0.45">
      <c r="A24" s="20">
        <v>45935.723819444444</v>
      </c>
      <c r="B24" s="21" t="s">
        <v>57</v>
      </c>
      <c r="C24" s="21" t="s">
        <v>57</v>
      </c>
      <c r="D24" s="21" t="s">
        <v>58</v>
      </c>
      <c r="E24" s="21">
        <v>1</v>
      </c>
      <c r="F24" s="22">
        <v>9</v>
      </c>
      <c r="G24" s="22">
        <v>9</v>
      </c>
      <c r="H24" s="23">
        <v>858.64670999999998</v>
      </c>
      <c r="I24" s="21" t="s">
        <v>59</v>
      </c>
      <c r="J24" s="21"/>
      <c r="K24" s="21" t="s">
        <v>55</v>
      </c>
      <c r="L24" s="21" t="s">
        <v>111</v>
      </c>
      <c r="M24" s="21">
        <v>11864947</v>
      </c>
    </row>
    <row r="25" spans="1:13" x14ac:dyDescent="0.45">
      <c r="A25" s="44">
        <v>45952.51734953704</v>
      </c>
      <c r="B25" s="45" t="s">
        <v>84</v>
      </c>
      <c r="C25" s="45" t="s">
        <v>84</v>
      </c>
      <c r="D25" s="45" t="s">
        <v>85</v>
      </c>
      <c r="E25" s="45">
        <v>1</v>
      </c>
      <c r="F25" s="46">
        <v>15</v>
      </c>
      <c r="G25" s="46">
        <v>15</v>
      </c>
      <c r="H25" s="47">
        <v>1431.0778499999999</v>
      </c>
      <c r="I25" s="45" t="s">
        <v>86</v>
      </c>
      <c r="J25" s="45" t="s">
        <v>112</v>
      </c>
      <c r="K25" s="45" t="s">
        <v>55</v>
      </c>
      <c r="L25" s="45" t="s">
        <v>113</v>
      </c>
      <c r="M25" s="45">
        <v>12030853</v>
      </c>
    </row>
    <row r="26" spans="1:13" x14ac:dyDescent="0.45">
      <c r="A26" s="60">
        <v>46019.523958333331</v>
      </c>
      <c r="B26" s="61" t="s">
        <v>114</v>
      </c>
      <c r="C26" s="61" t="s">
        <v>114</v>
      </c>
      <c r="D26" s="61" t="s">
        <v>115</v>
      </c>
      <c r="E26" s="61">
        <v>1</v>
      </c>
      <c r="F26" s="62">
        <v>1</v>
      </c>
      <c r="G26" s="62">
        <v>1</v>
      </c>
      <c r="H26" s="63">
        <v>95.405190000000005</v>
      </c>
      <c r="I26" s="61" t="s">
        <v>116</v>
      </c>
      <c r="J26" s="61"/>
      <c r="K26" s="61" t="s">
        <v>55</v>
      </c>
      <c r="L26" s="61" t="s">
        <v>117</v>
      </c>
      <c r="M26" s="61">
        <v>12733990</v>
      </c>
    </row>
    <row r="27" spans="1:13" x14ac:dyDescent="0.45">
      <c r="A27" s="64">
        <v>46066.356064814812</v>
      </c>
      <c r="B27" s="65" t="s">
        <v>118</v>
      </c>
      <c r="C27" s="65" t="s">
        <v>119</v>
      </c>
      <c r="D27" s="65" t="s">
        <v>120</v>
      </c>
      <c r="E27" s="65">
        <v>1</v>
      </c>
      <c r="F27" s="66">
        <v>50</v>
      </c>
      <c r="G27" s="66">
        <v>50</v>
      </c>
      <c r="H27" s="67">
        <v>4770.2595000000001</v>
      </c>
      <c r="I27" s="65" t="s">
        <v>81</v>
      </c>
      <c r="J27" s="65"/>
      <c r="K27" s="65" t="s">
        <v>55</v>
      </c>
      <c r="L27" s="65" t="s">
        <v>121</v>
      </c>
      <c r="M27" s="65">
        <v>13241499</v>
      </c>
    </row>
    <row r="28" spans="1:13" x14ac:dyDescent="0.45">
      <c r="D28" s="12" t="s">
        <v>122</v>
      </c>
      <c r="E28" s="13">
        <f>SUM(E2:E27)</f>
        <v>26</v>
      </c>
      <c r="G28" s="14">
        <f>SUM(G2:G27)</f>
        <v>272</v>
      </c>
      <c r="H28" s="15">
        <f>SUM(H2:H27)</f>
        <v>25950.211680000004</v>
      </c>
    </row>
  </sheetData>
  <autoFilter ref="A1:M27" xr:uid="{00000000-0009-0000-0000-000002000000}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22" customWidth="1"/>
    <col min="3" max="3" width="11" customWidth="1"/>
    <col min="4" max="4" width="13" customWidth="1"/>
    <col min="5" max="5" width="24" customWidth="1"/>
    <col min="6" max="6" width="13" customWidth="1"/>
    <col min="7" max="7" width="15" customWidth="1"/>
    <col min="8" max="9" width="14" customWidth="1"/>
    <col min="10" max="10" width="11" customWidth="1"/>
    <col min="11" max="11" width="23" customWidth="1"/>
    <col min="12" max="12" width="22" customWidth="1"/>
    <col min="13" max="13" width="45" customWidth="1"/>
    <col min="14" max="14" width="18" customWidth="1"/>
  </cols>
  <sheetData>
    <row r="1" spans="1:14" x14ac:dyDescent="0.45">
      <c r="A1" s="4" t="s">
        <v>123</v>
      </c>
      <c r="B1" s="4" t="s">
        <v>124</v>
      </c>
      <c r="C1" s="4" t="s">
        <v>125</v>
      </c>
      <c r="D1" s="4" t="s">
        <v>40</v>
      </c>
      <c r="E1" s="4" t="s">
        <v>41</v>
      </c>
      <c r="F1" s="4" t="s">
        <v>126</v>
      </c>
      <c r="G1" s="4" t="s">
        <v>43</v>
      </c>
      <c r="H1" s="4" t="s">
        <v>127</v>
      </c>
      <c r="I1" s="4" t="s">
        <v>128</v>
      </c>
      <c r="J1" s="4" t="s">
        <v>129</v>
      </c>
      <c r="K1" s="4" t="s">
        <v>130</v>
      </c>
      <c r="L1" s="4" t="s">
        <v>131</v>
      </c>
      <c r="M1" s="4" t="s">
        <v>132</v>
      </c>
      <c r="N1" s="4" t="s">
        <v>133</v>
      </c>
    </row>
    <row r="2" spans="1:14" x14ac:dyDescent="0.45">
      <c r="A2" s="52">
        <v>46066.354375000003</v>
      </c>
      <c r="B2" s="52">
        <v>46086.037453703713</v>
      </c>
      <c r="C2" s="53" t="s">
        <v>134</v>
      </c>
      <c r="D2" s="53" t="s">
        <v>119</v>
      </c>
      <c r="E2" s="53" t="s">
        <v>120</v>
      </c>
      <c r="F2" s="53">
        <v>1</v>
      </c>
      <c r="G2" s="54">
        <v>10</v>
      </c>
      <c r="H2" s="54">
        <v>10</v>
      </c>
      <c r="I2" s="55">
        <v>954.05190000000005</v>
      </c>
      <c r="J2" s="53" t="s">
        <v>135</v>
      </c>
      <c r="K2" s="52">
        <v>46066.354328703703</v>
      </c>
      <c r="L2" s="52">
        <v>46094.354328703703</v>
      </c>
      <c r="M2" s="53" t="s">
        <v>136</v>
      </c>
      <c r="N2" s="53">
        <v>925940</v>
      </c>
    </row>
    <row r="3" spans="1:14" x14ac:dyDescent="0.45">
      <c r="A3" s="68">
        <v>46087.150081018517</v>
      </c>
      <c r="B3" s="68"/>
      <c r="C3" s="69" t="s">
        <v>137</v>
      </c>
      <c r="D3" s="69" t="s">
        <v>119</v>
      </c>
      <c r="E3" s="69" t="s">
        <v>120</v>
      </c>
      <c r="F3" s="69">
        <v>1</v>
      </c>
      <c r="G3" s="70">
        <v>60</v>
      </c>
      <c r="H3" s="70">
        <v>60</v>
      </c>
      <c r="I3" s="71">
        <v>5724.3114000000014</v>
      </c>
      <c r="J3" s="69" t="s">
        <v>135</v>
      </c>
      <c r="K3" s="68">
        <v>46179.150023148148</v>
      </c>
      <c r="L3" s="68">
        <v>46209.150023148148</v>
      </c>
      <c r="M3" s="69" t="s">
        <v>138</v>
      </c>
      <c r="N3" s="69">
        <v>944311</v>
      </c>
    </row>
    <row r="4" spans="1:14" x14ac:dyDescent="0.45">
      <c r="A4" s="48">
        <v>46169.462546296287</v>
      </c>
      <c r="B4" s="48"/>
      <c r="C4" s="49" t="s">
        <v>139</v>
      </c>
      <c r="D4" s="49" t="s">
        <v>79</v>
      </c>
      <c r="E4" s="49" t="s">
        <v>80</v>
      </c>
      <c r="F4" s="49">
        <v>1</v>
      </c>
      <c r="G4" s="50">
        <v>5</v>
      </c>
      <c r="H4" s="50">
        <v>5</v>
      </c>
      <c r="I4" s="51">
        <v>477.02595000000002</v>
      </c>
      <c r="J4" s="49" t="s">
        <v>135</v>
      </c>
      <c r="K4" s="48">
        <v>46169.462500000001</v>
      </c>
      <c r="L4" s="48">
        <v>46200.462500000001</v>
      </c>
      <c r="M4" s="49" t="s">
        <v>140</v>
      </c>
      <c r="N4" s="49">
        <v>1016237</v>
      </c>
    </row>
    <row r="5" spans="1:14" x14ac:dyDescent="0.45">
      <c r="G5" s="72" t="s">
        <v>141</v>
      </c>
      <c r="H5" s="14">
        <v>65</v>
      </c>
      <c r="I5" s="15">
        <v>6201.3373500000007</v>
      </c>
    </row>
  </sheetData>
  <autoFilter ref="A1:N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/>
  </sheetViews>
  <sheetFormatPr defaultRowHeight="14.25" x14ac:dyDescent="0.45"/>
  <cols>
    <col min="1" max="1" width="11" customWidth="1"/>
    <col min="2" max="2" width="15" customWidth="1"/>
    <col min="3" max="3" width="20" customWidth="1"/>
    <col min="4" max="5" width="15" customWidth="1"/>
    <col min="6" max="6" width="21" customWidth="1"/>
  </cols>
  <sheetData>
    <row r="1" spans="1:6" x14ac:dyDescent="0.45">
      <c r="A1" s="4" t="s">
        <v>142</v>
      </c>
      <c r="B1" s="4" t="s">
        <v>42</v>
      </c>
      <c r="C1" s="4" t="s">
        <v>143</v>
      </c>
      <c r="D1" s="4" t="s">
        <v>144</v>
      </c>
      <c r="E1" s="4" t="s">
        <v>145</v>
      </c>
      <c r="F1" s="4" t="s">
        <v>146</v>
      </c>
    </row>
    <row r="2" spans="1:6" x14ac:dyDescent="0.45">
      <c r="A2" s="6" t="s">
        <v>147</v>
      </c>
      <c r="B2" s="6">
        <v>1</v>
      </c>
      <c r="C2" s="6">
        <v>1</v>
      </c>
      <c r="D2" s="7">
        <v>5</v>
      </c>
      <c r="E2" s="8">
        <v>477.02595000000002</v>
      </c>
      <c r="F2" s="7">
        <v>5</v>
      </c>
    </row>
    <row r="3" spans="1:6" x14ac:dyDescent="0.45">
      <c r="A3" s="3" t="s">
        <v>148</v>
      </c>
      <c r="B3" s="3">
        <v>3</v>
      </c>
      <c r="C3" s="3">
        <v>3</v>
      </c>
      <c r="D3" s="10">
        <v>26</v>
      </c>
      <c r="E3" s="11">
        <v>2480.53494</v>
      </c>
      <c r="F3" s="10">
        <v>8.6666666666666661</v>
      </c>
    </row>
    <row r="4" spans="1:6" x14ac:dyDescent="0.45">
      <c r="A4" s="6" t="s">
        <v>149</v>
      </c>
      <c r="B4" s="6">
        <v>2</v>
      </c>
      <c r="C4" s="6">
        <v>2</v>
      </c>
      <c r="D4" s="7">
        <v>28</v>
      </c>
      <c r="E4" s="8">
        <v>2671.3453199999999</v>
      </c>
      <c r="F4" s="7">
        <v>14</v>
      </c>
    </row>
    <row r="5" spans="1:6" x14ac:dyDescent="0.45">
      <c r="A5" s="3" t="s">
        <v>150</v>
      </c>
      <c r="B5" s="3">
        <v>3</v>
      </c>
      <c r="C5" s="3">
        <v>3</v>
      </c>
      <c r="D5" s="10">
        <v>33</v>
      </c>
      <c r="E5" s="11">
        <v>3148.3712700000001</v>
      </c>
      <c r="F5" s="10">
        <v>11</v>
      </c>
    </row>
    <row r="6" spans="1:6" x14ac:dyDescent="0.45">
      <c r="A6" s="6" t="s">
        <v>151</v>
      </c>
      <c r="B6" s="6">
        <v>4</v>
      </c>
      <c r="C6" s="6">
        <v>4</v>
      </c>
      <c r="D6" s="7">
        <v>53</v>
      </c>
      <c r="E6" s="8">
        <v>5056.4750700000004</v>
      </c>
      <c r="F6" s="7">
        <v>13.25</v>
      </c>
    </row>
    <row r="7" spans="1:6" x14ac:dyDescent="0.45">
      <c r="A7" s="3" t="s">
        <v>152</v>
      </c>
      <c r="B7" s="3">
        <v>1</v>
      </c>
      <c r="C7" s="3">
        <v>1</v>
      </c>
      <c r="D7" s="10">
        <v>3</v>
      </c>
      <c r="E7" s="11">
        <v>286.21557000000001</v>
      </c>
      <c r="F7" s="10">
        <v>3</v>
      </c>
    </row>
    <row r="8" spans="1:6" x14ac:dyDescent="0.45">
      <c r="A8" s="6" t="s">
        <v>153</v>
      </c>
      <c r="B8" s="6">
        <v>3</v>
      </c>
      <c r="C8" s="6">
        <v>3</v>
      </c>
      <c r="D8" s="7">
        <v>19</v>
      </c>
      <c r="E8" s="8">
        <v>1812.6986099999999</v>
      </c>
      <c r="F8" s="7">
        <v>6.333333333333333</v>
      </c>
    </row>
    <row r="9" spans="1:6" x14ac:dyDescent="0.45">
      <c r="A9" s="3" t="s">
        <v>154</v>
      </c>
      <c r="B9" s="3">
        <v>1</v>
      </c>
      <c r="C9" s="3">
        <v>1</v>
      </c>
      <c r="D9" s="10">
        <v>3</v>
      </c>
      <c r="E9" s="11">
        <v>286.21557000000001</v>
      </c>
      <c r="F9" s="10">
        <v>3</v>
      </c>
    </row>
    <row r="10" spans="1:6" x14ac:dyDescent="0.45">
      <c r="A10" s="6" t="s">
        <v>155</v>
      </c>
      <c r="B10" s="6">
        <v>1</v>
      </c>
      <c r="C10" s="6">
        <v>1</v>
      </c>
      <c r="D10" s="7">
        <v>3</v>
      </c>
      <c r="E10" s="8">
        <v>286.21557000000001</v>
      </c>
      <c r="F10" s="7">
        <v>3</v>
      </c>
    </row>
    <row r="11" spans="1:6" x14ac:dyDescent="0.45">
      <c r="A11" s="3" t="s">
        <v>156</v>
      </c>
      <c r="B11" s="3">
        <v>2</v>
      </c>
      <c r="C11" s="3">
        <v>2</v>
      </c>
      <c r="D11" s="10">
        <v>15</v>
      </c>
      <c r="E11" s="11">
        <v>1431.0778499999999</v>
      </c>
      <c r="F11" s="10">
        <v>7.5</v>
      </c>
    </row>
    <row r="12" spans="1:6" x14ac:dyDescent="0.45">
      <c r="A12" s="6" t="s">
        <v>157</v>
      </c>
      <c r="B12" s="6">
        <v>1</v>
      </c>
      <c r="C12" s="6">
        <v>1</v>
      </c>
      <c r="D12" s="7">
        <v>9</v>
      </c>
      <c r="E12" s="8">
        <v>858.64670999999998</v>
      </c>
      <c r="F12" s="7">
        <v>9</v>
      </c>
    </row>
    <row r="13" spans="1:6" x14ac:dyDescent="0.45">
      <c r="A13" s="3" t="s">
        <v>158</v>
      </c>
      <c r="B13" s="3">
        <v>2</v>
      </c>
      <c r="C13" s="3">
        <v>2</v>
      </c>
      <c r="D13" s="10">
        <v>24</v>
      </c>
      <c r="E13" s="11">
        <v>2289.7245600000001</v>
      </c>
      <c r="F13" s="10">
        <v>12</v>
      </c>
    </row>
    <row r="14" spans="1:6" x14ac:dyDescent="0.45">
      <c r="A14" s="6" t="s">
        <v>159</v>
      </c>
      <c r="B14" s="6">
        <v>1</v>
      </c>
      <c r="C14" s="6">
        <v>1</v>
      </c>
      <c r="D14" s="7">
        <v>1</v>
      </c>
      <c r="E14" s="8">
        <v>95.405190000000005</v>
      </c>
      <c r="F14" s="7">
        <v>1</v>
      </c>
    </row>
    <row r="15" spans="1:6" x14ac:dyDescent="0.45">
      <c r="A15" s="3" t="s">
        <v>160</v>
      </c>
      <c r="B15" s="3">
        <v>1</v>
      </c>
      <c r="C15" s="3">
        <v>1</v>
      </c>
      <c r="D15" s="10">
        <v>50</v>
      </c>
      <c r="E15" s="11">
        <v>4770.2595000000001</v>
      </c>
      <c r="F15" s="10">
        <v>50</v>
      </c>
    </row>
    <row r="16" spans="1:6" x14ac:dyDescent="0.45">
      <c r="A16" s="13" t="s">
        <v>122</v>
      </c>
      <c r="B16" s="13">
        <f>SUM(B2:B15)</f>
        <v>26</v>
      </c>
      <c r="D16" s="14">
        <f>SUM(D2:D15)</f>
        <v>272</v>
      </c>
      <c r="E16" s="15">
        <f>SUM(E2:E15)</f>
        <v>25950.211680000004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topLeftCell="F1" workbookViewId="0">
      <pane ySplit="1" topLeftCell="A2" activePane="bottomLeft" state="frozen"/>
      <selection pane="bottomLeft" activeCell="U5" sqref="U5"/>
    </sheetView>
  </sheetViews>
  <sheetFormatPr defaultRowHeight="14.25" x14ac:dyDescent="0.45"/>
  <cols>
    <col min="1" max="1" width="11" customWidth="1"/>
    <col min="2" max="2" width="16" customWidth="1"/>
    <col min="3" max="3" width="28" customWidth="1"/>
    <col min="4" max="4" width="11" customWidth="1"/>
    <col min="5" max="6" width="12" customWidth="1"/>
    <col min="7" max="8" width="22" customWidth="1"/>
    <col min="9" max="9" width="18" customWidth="1"/>
  </cols>
  <sheetData>
    <row r="1" spans="1:9" x14ac:dyDescent="0.45">
      <c r="A1" s="4" t="s">
        <v>161</v>
      </c>
      <c r="B1" s="4" t="s">
        <v>40</v>
      </c>
      <c r="C1" s="4" t="s">
        <v>41</v>
      </c>
      <c r="D1" s="4" t="s">
        <v>42</v>
      </c>
      <c r="E1" s="4" t="s">
        <v>44</v>
      </c>
      <c r="F1" s="4" t="s">
        <v>45</v>
      </c>
      <c r="G1" s="4" t="s">
        <v>13</v>
      </c>
      <c r="H1" s="4" t="s">
        <v>162</v>
      </c>
      <c r="I1" s="4" t="s">
        <v>163</v>
      </c>
    </row>
    <row r="2" spans="1:9" x14ac:dyDescent="0.45">
      <c r="A2" s="6">
        <v>1</v>
      </c>
      <c r="B2" s="6" t="s">
        <v>119</v>
      </c>
      <c r="C2" s="6" t="s">
        <v>120</v>
      </c>
      <c r="D2" s="6">
        <v>1</v>
      </c>
      <c r="E2" s="7">
        <v>50</v>
      </c>
      <c r="F2" s="8">
        <v>4770.2595000000001</v>
      </c>
      <c r="G2" s="73">
        <v>46066.356064814812</v>
      </c>
      <c r="H2" s="73">
        <v>46066.356064814812</v>
      </c>
      <c r="I2" s="6">
        <v>1</v>
      </c>
    </row>
    <row r="3" spans="1:9" x14ac:dyDescent="0.45">
      <c r="A3" s="3">
        <v>2</v>
      </c>
      <c r="B3" s="3" t="s">
        <v>79</v>
      </c>
      <c r="C3" s="3" t="s">
        <v>80</v>
      </c>
      <c r="D3" s="3">
        <v>2</v>
      </c>
      <c r="E3" s="10">
        <v>50</v>
      </c>
      <c r="F3" s="11">
        <v>4770.2595000000001</v>
      </c>
      <c r="G3" s="74">
        <v>45617.620185185187</v>
      </c>
      <c r="H3" s="74">
        <v>45644.595578703702</v>
      </c>
      <c r="I3" s="3">
        <v>2</v>
      </c>
    </row>
    <row r="4" spans="1:9" x14ac:dyDescent="0.45">
      <c r="A4" s="6">
        <v>3</v>
      </c>
      <c r="B4" s="6" t="s">
        <v>57</v>
      </c>
      <c r="C4" s="6" t="s">
        <v>58</v>
      </c>
      <c r="D4" s="6">
        <v>9</v>
      </c>
      <c r="E4" s="7">
        <v>42</v>
      </c>
      <c r="F4" s="8">
        <v>4007.0179800000001</v>
      </c>
      <c r="G4" s="73">
        <v>45536.313472222217</v>
      </c>
      <c r="H4" s="73">
        <v>45935.723819444444</v>
      </c>
      <c r="I4" s="6">
        <v>9</v>
      </c>
    </row>
    <row r="5" spans="1:9" x14ac:dyDescent="0.45">
      <c r="A5" s="3">
        <v>4</v>
      </c>
      <c r="B5" s="3" t="s">
        <v>84</v>
      </c>
      <c r="C5" s="3" t="s">
        <v>85</v>
      </c>
      <c r="D5" s="3">
        <v>3</v>
      </c>
      <c r="E5" s="10">
        <v>35</v>
      </c>
      <c r="F5" s="11">
        <v>3339.18165</v>
      </c>
      <c r="G5" s="74">
        <v>45631.639293981483</v>
      </c>
      <c r="H5" s="74">
        <v>45952.51734953704</v>
      </c>
      <c r="I5" s="3">
        <v>3</v>
      </c>
    </row>
    <row r="6" spans="1:9" x14ac:dyDescent="0.45">
      <c r="A6" s="6">
        <v>5</v>
      </c>
      <c r="B6" s="6" t="s">
        <v>71</v>
      </c>
      <c r="C6" s="6" t="s">
        <v>72</v>
      </c>
      <c r="D6" s="6">
        <v>2</v>
      </c>
      <c r="E6" s="7">
        <v>33</v>
      </c>
      <c r="F6" s="8">
        <v>3148.3712700000001</v>
      </c>
      <c r="G6" s="73">
        <v>45584.145243055558</v>
      </c>
      <c r="H6" s="73">
        <v>45705.860393518517</v>
      </c>
      <c r="I6" s="6">
        <v>2</v>
      </c>
    </row>
    <row r="7" spans="1:9" x14ac:dyDescent="0.45">
      <c r="A7" s="3">
        <v>6</v>
      </c>
      <c r="B7" s="3" t="s">
        <v>51</v>
      </c>
      <c r="C7" s="3" t="s">
        <v>52</v>
      </c>
      <c r="D7" s="3">
        <v>2</v>
      </c>
      <c r="E7" s="10">
        <v>15</v>
      </c>
      <c r="F7" s="11">
        <v>1431.0778499999999</v>
      </c>
      <c r="G7" s="74">
        <v>45525.128460648149</v>
      </c>
      <c r="H7" s="74">
        <v>45819.932430555556</v>
      </c>
      <c r="I7" s="3">
        <v>2</v>
      </c>
    </row>
    <row r="8" spans="1:9" x14ac:dyDescent="0.45">
      <c r="A8" s="6">
        <v>7</v>
      </c>
      <c r="B8" s="6" t="s">
        <v>57</v>
      </c>
      <c r="C8" s="6" t="s">
        <v>66</v>
      </c>
      <c r="D8" s="6">
        <v>1</v>
      </c>
      <c r="E8" s="7">
        <v>12</v>
      </c>
      <c r="F8" s="8">
        <v>1144.8622800000001</v>
      </c>
      <c r="G8" s="73">
        <v>45563.258402777778</v>
      </c>
      <c r="H8" s="73">
        <v>45563.258402777778</v>
      </c>
      <c r="I8" s="6">
        <v>1</v>
      </c>
    </row>
    <row r="9" spans="1:9" x14ac:dyDescent="0.45">
      <c r="A9" s="3">
        <v>8</v>
      </c>
      <c r="B9" s="3" t="s">
        <v>71</v>
      </c>
      <c r="C9" s="3" t="s">
        <v>76</v>
      </c>
      <c r="D9" s="3">
        <v>1</v>
      </c>
      <c r="E9" s="10">
        <v>10</v>
      </c>
      <c r="F9" s="11">
        <v>954.05190000000005</v>
      </c>
      <c r="G9" s="74">
        <v>45602.806134259263</v>
      </c>
      <c r="H9" s="74">
        <v>45602.806134259263</v>
      </c>
      <c r="I9" s="3">
        <v>1</v>
      </c>
    </row>
    <row r="10" spans="1:9" x14ac:dyDescent="0.45">
      <c r="A10" s="6">
        <v>9</v>
      </c>
      <c r="B10" s="6" t="s">
        <v>62</v>
      </c>
      <c r="C10" s="6" t="s">
        <v>63</v>
      </c>
      <c r="D10" s="6">
        <v>1</v>
      </c>
      <c r="E10" s="7">
        <v>10</v>
      </c>
      <c r="F10" s="8">
        <v>954.05190000000005</v>
      </c>
      <c r="G10" s="73">
        <v>45536.469687500001</v>
      </c>
      <c r="H10" s="73">
        <v>45536.469687500001</v>
      </c>
      <c r="I10" s="6">
        <v>1</v>
      </c>
    </row>
    <row r="11" spans="1:9" x14ac:dyDescent="0.45">
      <c r="A11" s="3">
        <v>10</v>
      </c>
      <c r="B11" s="3" t="s">
        <v>97</v>
      </c>
      <c r="C11" s="3" t="s">
        <v>98</v>
      </c>
      <c r="D11" s="3">
        <v>1</v>
      </c>
      <c r="E11" s="10">
        <v>6</v>
      </c>
      <c r="F11" s="11">
        <v>572.43114000000003</v>
      </c>
      <c r="G11" s="74">
        <v>45689.872187499997</v>
      </c>
      <c r="H11" s="74">
        <v>45689.872187499997</v>
      </c>
      <c r="I11" s="3">
        <v>1</v>
      </c>
    </row>
    <row r="12" spans="1:9" x14ac:dyDescent="0.45">
      <c r="A12" s="6">
        <v>11</v>
      </c>
      <c r="B12" s="6" t="s">
        <v>71</v>
      </c>
      <c r="C12" s="6" t="s">
        <v>91</v>
      </c>
      <c r="D12" s="6">
        <v>1</v>
      </c>
      <c r="E12" s="7">
        <v>5</v>
      </c>
      <c r="F12" s="8">
        <v>477.02595000000002</v>
      </c>
      <c r="G12" s="73">
        <v>45636.088738425933</v>
      </c>
      <c r="H12" s="73">
        <v>45636.088738425933</v>
      </c>
      <c r="I12" s="6">
        <v>1</v>
      </c>
    </row>
    <row r="13" spans="1:9" x14ac:dyDescent="0.45">
      <c r="A13" s="3">
        <v>12</v>
      </c>
      <c r="B13" s="3" t="s">
        <v>57</v>
      </c>
      <c r="C13" s="3" t="s">
        <v>105</v>
      </c>
      <c r="D13" s="3">
        <v>1</v>
      </c>
      <c r="E13" s="10">
        <v>3</v>
      </c>
      <c r="F13" s="11">
        <v>286.21557000000001</v>
      </c>
      <c r="G13" s="74">
        <v>45763.664594907408</v>
      </c>
      <c r="H13" s="74">
        <v>45763.664594907408</v>
      </c>
      <c r="I13" s="3">
        <v>1</v>
      </c>
    </row>
    <row r="14" spans="1:9" x14ac:dyDescent="0.45">
      <c r="A14" s="6">
        <v>13</v>
      </c>
      <c r="B14" s="6" t="s">
        <v>114</v>
      </c>
      <c r="C14" s="6" t="s">
        <v>115</v>
      </c>
      <c r="D14" s="6">
        <v>1</v>
      </c>
      <c r="E14" s="7">
        <v>1</v>
      </c>
      <c r="F14" s="8">
        <v>95.405190000000005</v>
      </c>
      <c r="G14" s="73">
        <v>46019.523958333331</v>
      </c>
      <c r="H14" s="73">
        <v>46019.523958333331</v>
      </c>
      <c r="I14" s="6">
        <v>1</v>
      </c>
    </row>
  </sheetData>
  <autoFilter ref="A1:I14" xr:uid="{00000000-0009-0000-0000-000005000000}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3" width="11" customWidth="1"/>
    <col min="4" max="5" width="14" customWidth="1"/>
    <col min="6" max="6" width="13" customWidth="1"/>
  </cols>
  <sheetData>
    <row r="1" spans="1:6" x14ac:dyDescent="0.45">
      <c r="A1" s="4" t="s">
        <v>46</v>
      </c>
      <c r="B1" s="4" t="s">
        <v>164</v>
      </c>
      <c r="C1" s="4" t="s">
        <v>42</v>
      </c>
      <c r="D1" s="4" t="s">
        <v>144</v>
      </c>
      <c r="E1" s="4" t="s">
        <v>145</v>
      </c>
      <c r="F1" s="4" t="s">
        <v>165</v>
      </c>
    </row>
    <row r="2" spans="1:6" x14ac:dyDescent="0.45">
      <c r="A2" s="6" t="s">
        <v>81</v>
      </c>
      <c r="B2" s="6" t="s">
        <v>166</v>
      </c>
      <c r="C2" s="6">
        <v>4</v>
      </c>
      <c r="D2" s="7">
        <v>106</v>
      </c>
      <c r="E2" s="8">
        <v>10112.950140000001</v>
      </c>
      <c r="F2" s="75">
        <v>0.38970588235294118</v>
      </c>
    </row>
    <row r="3" spans="1:6" x14ac:dyDescent="0.45">
      <c r="A3" s="3" t="s">
        <v>53</v>
      </c>
      <c r="B3" s="3" t="s">
        <v>167</v>
      </c>
      <c r="C3" s="3">
        <v>7</v>
      </c>
      <c r="D3" s="10">
        <v>73</v>
      </c>
      <c r="E3" s="11">
        <v>6964.5788700000003</v>
      </c>
      <c r="F3" s="76">
        <v>0.26838235294117652</v>
      </c>
    </row>
    <row r="4" spans="1:6" x14ac:dyDescent="0.45">
      <c r="A4" s="6" t="s">
        <v>59</v>
      </c>
      <c r="B4" s="6" t="s">
        <v>168</v>
      </c>
      <c r="C4" s="6">
        <v>10</v>
      </c>
      <c r="D4" s="7">
        <v>45</v>
      </c>
      <c r="E4" s="8">
        <v>4293.2335499999999</v>
      </c>
      <c r="F4" s="75">
        <v>0.1654411764705882</v>
      </c>
    </row>
    <row r="5" spans="1:6" x14ac:dyDescent="0.45">
      <c r="A5" s="3" t="s">
        <v>86</v>
      </c>
      <c r="B5" s="3" t="s">
        <v>169</v>
      </c>
      <c r="C5" s="3">
        <v>3</v>
      </c>
      <c r="D5" s="10">
        <v>35</v>
      </c>
      <c r="E5" s="11">
        <v>3339.18165</v>
      </c>
      <c r="F5" s="76">
        <v>0.12867647058823531</v>
      </c>
    </row>
    <row r="6" spans="1:6" x14ac:dyDescent="0.45">
      <c r="A6" s="6" t="s">
        <v>67</v>
      </c>
      <c r="B6" s="6" t="s">
        <v>170</v>
      </c>
      <c r="C6" s="6">
        <v>1</v>
      </c>
      <c r="D6" s="7">
        <v>12</v>
      </c>
      <c r="E6" s="8">
        <v>1144.8622800000001</v>
      </c>
      <c r="F6" s="75">
        <v>4.4117647058823532E-2</v>
      </c>
    </row>
    <row r="7" spans="1:6" x14ac:dyDescent="0.45">
      <c r="A7" s="3" t="s">
        <v>116</v>
      </c>
      <c r="B7" s="3" t="s">
        <v>171</v>
      </c>
      <c r="C7" s="3">
        <v>1</v>
      </c>
      <c r="D7" s="10">
        <v>1</v>
      </c>
      <c r="E7" s="11">
        <v>95.405190000000005</v>
      </c>
      <c r="F7" s="76">
        <v>3.6764705882352941E-3</v>
      </c>
    </row>
  </sheetData>
  <autoFilter ref="A1:F7" xr:uid="{00000000-0009-0000-0000-000006000000}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4"/>
  <sheetViews>
    <sheetView workbookViewId="0">
      <selection activeCell="Q9" sqref="Q9"/>
    </sheetView>
  </sheetViews>
  <sheetFormatPr defaultRowHeight="14.25" x14ac:dyDescent="0.45"/>
  <cols>
    <col min="1" max="1" width="19" customWidth="1"/>
    <col min="2" max="2" width="11" customWidth="1"/>
    <col min="3" max="3" width="13" customWidth="1"/>
  </cols>
  <sheetData>
    <row r="1" spans="1:3" x14ac:dyDescent="0.45">
      <c r="A1" s="4" t="s">
        <v>172</v>
      </c>
      <c r="B1" s="4" t="s">
        <v>173</v>
      </c>
      <c r="C1" s="4" t="s">
        <v>165</v>
      </c>
    </row>
    <row r="2" spans="1:3" x14ac:dyDescent="0.45">
      <c r="A2" s="7">
        <v>1</v>
      </c>
      <c r="B2" s="6">
        <v>1</v>
      </c>
      <c r="C2" s="75">
        <v>3.8461538461538457E-2</v>
      </c>
    </row>
    <row r="3" spans="1:3" x14ac:dyDescent="0.45">
      <c r="A3" s="10">
        <v>3</v>
      </c>
      <c r="B3" s="3">
        <v>6</v>
      </c>
      <c r="C3" s="76">
        <v>0.23076923076923081</v>
      </c>
    </row>
    <row r="4" spans="1:3" x14ac:dyDescent="0.45">
      <c r="A4" s="7">
        <v>4</v>
      </c>
      <c r="B4" s="6">
        <v>1</v>
      </c>
      <c r="C4" s="75">
        <v>3.8461538461538457E-2</v>
      </c>
    </row>
    <row r="5" spans="1:3" x14ac:dyDescent="0.45">
      <c r="A5" s="10">
        <v>5</v>
      </c>
      <c r="B5" s="3">
        <v>4</v>
      </c>
      <c r="C5" s="76">
        <v>0.15384615384615391</v>
      </c>
    </row>
    <row r="6" spans="1:3" x14ac:dyDescent="0.45">
      <c r="A6" s="7">
        <v>6</v>
      </c>
      <c r="B6" s="6">
        <v>1</v>
      </c>
      <c r="C6" s="75">
        <v>3.8461538461538457E-2</v>
      </c>
    </row>
    <row r="7" spans="1:3" x14ac:dyDescent="0.45">
      <c r="A7" s="10">
        <v>9</v>
      </c>
      <c r="B7" s="3">
        <v>2</v>
      </c>
      <c r="C7" s="76">
        <v>7.6923076923076927E-2</v>
      </c>
    </row>
    <row r="8" spans="1:3" x14ac:dyDescent="0.45">
      <c r="A8" s="7">
        <v>10</v>
      </c>
      <c r="B8" s="6">
        <v>4</v>
      </c>
      <c r="C8" s="75">
        <v>0.15384615384615391</v>
      </c>
    </row>
    <row r="9" spans="1:3" x14ac:dyDescent="0.45">
      <c r="A9" s="10">
        <v>12</v>
      </c>
      <c r="B9" s="3">
        <v>1</v>
      </c>
      <c r="C9" s="76">
        <v>3.8461538461538457E-2</v>
      </c>
    </row>
    <row r="10" spans="1:3" x14ac:dyDescent="0.45">
      <c r="A10" s="7">
        <v>15</v>
      </c>
      <c r="B10" s="6">
        <v>2</v>
      </c>
      <c r="C10" s="75">
        <v>7.6923076923076927E-2</v>
      </c>
    </row>
    <row r="11" spans="1:3" x14ac:dyDescent="0.45">
      <c r="A11" s="10">
        <v>20</v>
      </c>
      <c r="B11" s="3">
        <v>1</v>
      </c>
      <c r="C11" s="76">
        <v>3.8461538461538457E-2</v>
      </c>
    </row>
    <row r="12" spans="1:3" x14ac:dyDescent="0.45">
      <c r="A12" s="7">
        <v>23</v>
      </c>
      <c r="B12" s="6">
        <v>1</v>
      </c>
      <c r="C12" s="75">
        <v>3.8461538461538457E-2</v>
      </c>
    </row>
    <row r="13" spans="1:3" x14ac:dyDescent="0.45">
      <c r="A13" s="10">
        <v>30</v>
      </c>
      <c r="B13" s="3">
        <v>1</v>
      </c>
      <c r="C13" s="76">
        <v>3.8461538461538457E-2</v>
      </c>
    </row>
    <row r="14" spans="1:3" x14ac:dyDescent="0.45">
      <c r="A14" s="7">
        <v>50</v>
      </c>
      <c r="B14" s="6">
        <v>1</v>
      </c>
      <c r="C14" s="75">
        <v>3.8461538461538457E-2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Supporters</vt:lpstr>
      <vt:lpstr>Supporters (Colored)</vt:lpstr>
      <vt:lpstr>Subscriptions</vt:lpstr>
      <vt:lpstr>Monthly Summary</vt:lpstr>
      <vt:lpstr>Top Supporters</vt:lpstr>
      <vt:lpstr>By Country</vt:lpstr>
      <vt:lpstr>Price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Varad Yogi</cp:lastModifiedBy>
  <dcterms:created xsi:type="dcterms:W3CDTF">2026-06-10T14:12:17Z</dcterms:created>
  <dcterms:modified xsi:type="dcterms:W3CDTF">2026-06-10T14:20:20Z</dcterms:modified>
</cp:coreProperties>
</file>